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ndre\OneDrive\Desktop\сайт\prognoz\"/>
    </mc:Choice>
  </mc:AlternateContent>
  <xr:revisionPtr revIDLastSave="0" documentId="13_ncr:1_{C9881412-A6B0-4B9E-8C1C-BBFB89494239}" xr6:coauthVersionLast="47" xr6:coauthVersionMax="47" xr10:uidLastSave="{00000000-0000-0000-0000-000000000000}"/>
  <bookViews>
    <workbookView xWindow="-120" yWindow="-120" windowWidth="29040" windowHeight="15720" firstSheet="2" activeTab="7" xr2:uid="{51221135-C50B-4169-BE55-CBA989DA22DD}"/>
  </bookViews>
  <sheets>
    <sheet name="Опис. статистика" sheetId="3" r:id="rId1"/>
    <sheet name="Регрессия скважины" sheetId="4" r:id="rId2"/>
    <sheet name="Корреляция" sheetId="5" r:id="rId3"/>
    <sheet name="Оценка качества модели" sheetId="13" r:id="rId4"/>
    <sheet name="Лист4" sheetId="7" r:id="rId5"/>
    <sheet name="Регрессия Инв и Рф" sheetId="11" r:id="rId6"/>
    <sheet name="Лист2" sheetId="12" r:id="rId7"/>
    <sheet name="Данные" sheetId="1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7" i="1" l="1"/>
  <c r="I16" i="13"/>
  <c r="J18" i="13"/>
  <c r="J20" i="13" s="1"/>
  <c r="J21" i="13" s="1"/>
  <c r="J19" i="13"/>
  <c r="O17" i="13"/>
  <c r="N3" i="13"/>
  <c r="N4" i="13"/>
  <c r="N5" i="13"/>
  <c r="N6" i="13"/>
  <c r="N7" i="13"/>
  <c r="N8" i="13"/>
  <c r="N9" i="13"/>
  <c r="N10" i="13"/>
  <c r="N11" i="13"/>
  <c r="N12" i="13"/>
  <c r="N13" i="13"/>
  <c r="N14" i="13"/>
  <c r="N15" i="13"/>
  <c r="N16" i="13"/>
  <c r="N17" i="13"/>
  <c r="H3" i="13"/>
  <c r="H4" i="13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N2" i="13"/>
  <c r="G2" i="13"/>
  <c r="G3" i="13"/>
  <c r="G4" i="13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F17" i="13"/>
  <c r="F3" i="13"/>
  <c r="F4" i="13"/>
  <c r="F5" i="13"/>
  <c r="F6" i="13"/>
  <c r="F7" i="13"/>
  <c r="F8" i="13"/>
  <c r="F9" i="13"/>
  <c r="F10" i="13"/>
  <c r="F11" i="13"/>
  <c r="F12" i="13"/>
  <c r="F13" i="13"/>
  <c r="F14" i="13"/>
  <c r="F15" i="13"/>
  <c r="F16" i="13"/>
  <c r="F2" i="13"/>
  <c r="AA4" i="13"/>
  <c r="Q4" i="13"/>
  <c r="T4" i="13"/>
  <c r="U4" i="13"/>
  <c r="W4" i="13"/>
  <c r="X4" i="13"/>
  <c r="U6" i="13" l="1"/>
  <c r="I12" i="13"/>
  <c r="AA5" i="13"/>
  <c r="I11" i="13"/>
  <c r="AA6" i="13"/>
  <c r="H2" i="13"/>
  <c r="I5" i="13"/>
  <c r="AA16" i="13"/>
  <c r="I6" i="13"/>
  <c r="I7" i="13"/>
  <c r="I9" i="13"/>
  <c r="AA9" i="13"/>
  <c r="I10" i="13"/>
  <c r="AA10" i="13"/>
  <c r="AA15" i="13"/>
  <c r="U5" i="13"/>
  <c r="AA8" i="13"/>
  <c r="I15" i="13"/>
  <c r="AA13" i="13"/>
  <c r="I4" i="13"/>
  <c r="X2" i="13"/>
  <c r="I8" i="13"/>
  <c r="W2" i="13"/>
  <c r="I13" i="13"/>
  <c r="AA11" i="13"/>
  <c r="Q2" i="13"/>
  <c r="AA14" i="13"/>
  <c r="AA3" i="13"/>
  <c r="AA7" i="13"/>
  <c r="I14" i="13"/>
  <c r="AA12" i="13"/>
  <c r="I3" i="13"/>
  <c r="J22" i="13" l="1"/>
  <c r="AC1" i="13"/>
  <c r="U2" i="13"/>
  <c r="D18" i="1" l="1"/>
  <c r="E18" i="1"/>
  <c r="E5" i="11"/>
  <c r="E4" i="11"/>
  <c r="F5" i="7"/>
  <c r="F4" i="7"/>
  <c r="E6" i="12"/>
  <c r="E7" i="12"/>
  <c r="E6" i="4"/>
  <c r="G41" i="1" l="1"/>
  <c r="G40" i="1"/>
  <c r="F41" i="1"/>
  <c r="F40" i="1"/>
  <c r="G39" i="1"/>
  <c r="F39" i="1"/>
  <c r="F38" i="1"/>
  <c r="E38" i="1"/>
  <c r="C38" i="1"/>
  <c r="G38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2" i="1"/>
  <c r="F18" i="1" s="1"/>
  <c r="G18" i="1" s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F19" i="1" l="1"/>
  <c r="F20" i="1" l="1"/>
  <c r="G20" i="1" s="1"/>
  <c r="G19" i="1"/>
  <c r="C39" i="1"/>
  <c r="E39" i="1" s="1"/>
  <c r="C40" i="1"/>
  <c r="E40" i="1" s="1"/>
  <c r="C41" i="1"/>
  <c r="E41" i="1" s="1"/>
  <c r="E7" i="4"/>
  <c r="F21" i="1" l="1"/>
  <c r="G21" i="1" s="1"/>
</calcChain>
</file>

<file path=xl/sharedStrings.xml><?xml version="1.0" encoding="utf-8"?>
<sst xmlns="http://schemas.openxmlformats.org/spreadsheetml/2006/main" count="243" uniqueCount="85">
  <si>
    <t>Год</t>
  </si>
  <si>
    <t>Объем добычи нефти (млн тонн)</t>
  </si>
  <si>
    <t>Добыча нефти по РФ, млн. тонн</t>
  </si>
  <si>
    <t>Действующие скважины, тыс.</t>
  </si>
  <si>
    <t> 530</t>
  </si>
  <si>
    <t>Инвестиционный по региону млрд. рублей</t>
  </si>
  <si>
    <t>Среднее</t>
  </si>
  <si>
    <t>Стандартная ошибка</t>
  </si>
  <si>
    <t>Медиана</t>
  </si>
  <si>
    <t>Мода</t>
  </si>
  <si>
    <t>Стандартное отклонение</t>
  </si>
  <si>
    <t>Дисперсия выборки</t>
  </si>
  <si>
    <t>Эксцесс</t>
  </si>
  <si>
    <t>Асимметричность</t>
  </si>
  <si>
    <t>Интервал</t>
  </si>
  <si>
    <t>Минимум</t>
  </si>
  <si>
    <t>Максимум</t>
  </si>
  <si>
    <t>Сумма</t>
  </si>
  <si>
    <t>Счет</t>
  </si>
  <si>
    <t>Уровень надежности(95,0%)</t>
  </si>
  <si>
    <t xml:space="preserve">Добыча нефти </t>
  </si>
  <si>
    <t>Добыча нефти по РФ</t>
  </si>
  <si>
    <t>Действующие скважины</t>
  </si>
  <si>
    <t>Инвестиции по региону</t>
  </si>
  <si>
    <t>ВЫВОД ИТОГОВ</t>
  </si>
  <si>
    <t>Регрессионная статистика</t>
  </si>
  <si>
    <t>Множественный R</t>
  </si>
  <si>
    <t>R-квадрат</t>
  </si>
  <si>
    <t>Нормированный R-квадрат</t>
  </si>
  <si>
    <t>Наблюдения</t>
  </si>
  <si>
    <t>Дисперсионный анализ</t>
  </si>
  <si>
    <t>Регрессия</t>
  </si>
  <si>
    <t>Остаток</t>
  </si>
  <si>
    <t>Итого</t>
  </si>
  <si>
    <t>Y-пересечение</t>
  </si>
  <si>
    <t>df</t>
  </si>
  <si>
    <t>SS</t>
  </si>
  <si>
    <t>MS</t>
  </si>
  <si>
    <t>F</t>
  </si>
  <si>
    <t>Значимость F</t>
  </si>
  <si>
    <t>Коэффициенты</t>
  </si>
  <si>
    <t>t-статистика</t>
  </si>
  <si>
    <t>P-Значение</t>
  </si>
  <si>
    <t>Нижние 95%</t>
  </si>
  <si>
    <t>Верхние 95%</t>
  </si>
  <si>
    <t>Нижние 95,0%</t>
  </si>
  <si>
    <t>Верхние 95,0%</t>
  </si>
  <si>
    <t>ВЫВОД ОСТАТКА</t>
  </si>
  <si>
    <t>Наблюдение</t>
  </si>
  <si>
    <t>Предсказанное 22045</t>
  </si>
  <si>
    <t>Остатки</t>
  </si>
  <si>
    <t>Стандартные остатки</t>
  </si>
  <si>
    <t>Критерий стьюдента</t>
  </si>
  <si>
    <t>Инвестиции</t>
  </si>
  <si>
    <t>Добыча нефти</t>
  </si>
  <si>
    <t>Добыча по РФ</t>
  </si>
  <si>
    <t>Предсказанное 25,8</t>
  </si>
  <si>
    <t>Проноз нефти до 2029</t>
  </si>
  <si>
    <t>Прогноз добычи нефти на 2029 год</t>
  </si>
  <si>
    <t>Инвестиции прогноз!</t>
  </si>
  <si>
    <t>Критерий Фишера</t>
  </si>
  <si>
    <t xml:space="preserve">Мультиколлениарность </t>
  </si>
  <si>
    <t>Добыча нефти (Y)</t>
  </si>
  <si>
    <t>Критерий Стьюдента</t>
  </si>
  <si>
    <t>Прогноз</t>
  </si>
  <si>
    <t>Остаточная компонента</t>
  </si>
  <si>
    <t>Остаток^2 I Дисперсия</t>
  </si>
  <si>
    <t>Ошибка аппроксимации</t>
  </si>
  <si>
    <t>Ассиммтерия</t>
  </si>
  <si>
    <t>Критерий Дарбина-Уотсона</t>
  </si>
  <si>
    <t>Р</t>
  </si>
  <si>
    <t>Табличное значение</t>
  </si>
  <si>
    <t>p̅</t>
  </si>
  <si>
    <t>ζ^2</t>
  </si>
  <si>
    <t>СКО ассимтерия</t>
  </si>
  <si>
    <t>СКО эксцесс</t>
  </si>
  <si>
    <t>p̅-t</t>
  </si>
  <si>
    <t>Ошибка</t>
  </si>
  <si>
    <t>Дисперсия остатков</t>
  </si>
  <si>
    <t>Дисперсия исходного ряда</t>
  </si>
  <si>
    <t>Коэфф сходимости</t>
  </si>
  <si>
    <t>Коэфф эмпирической детерминации</t>
  </si>
  <si>
    <t xml:space="preserve">Индекс корреляции </t>
  </si>
  <si>
    <t xml:space="preserve">2026 - 2025 </t>
  </si>
  <si>
    <t>Добыча нефти на одну скважину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</si>
</sst>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000"/>
  </numFmts>
  <fonts count="12">
    <font>
      <sz val="11"/>
      <color theme="1"/>
      <name val="Aptos Narrow"/>
      <family val="2"/>
      <charset val="204"/>
      <scheme val="minor"/>
    </font>
    <font>
      <sz val="14"/>
      <color theme="1"/>
      <name val="Aptos Narrow"/>
      <family val="2"/>
      <charset val="204"/>
      <scheme val="minor"/>
    </font>
    <font>
      <sz val="14"/>
      <color rgb="FF333333"/>
      <name val="Aptos Narrow"/>
      <family val="2"/>
      <scheme val="minor"/>
    </font>
    <font>
      <i/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2"/>
      <color theme="1"/>
      <name val="Aptos Narrow"/>
      <family val="2"/>
      <charset val="204"/>
      <scheme val="minor"/>
    </font>
    <font>
      <sz val="12"/>
      <color theme="1"/>
      <name val="Arial"/>
      <family val="2"/>
      <charset val="204"/>
    </font>
    <font>
      <sz val="14"/>
      <color theme="1"/>
      <name val="Aptos Narrow"/>
      <family val="2"/>
      <scheme val="minor"/>
    </font>
    <font>
      <sz val="12"/>
      <color rgb="FF333333"/>
      <name val="Arial"/>
      <family val="2"/>
      <charset val="204"/>
    </font>
    <font>
      <sz val="12"/>
      <color rgb="FF000000"/>
      <name val="Aptos Narrow"/>
      <family val="2"/>
      <charset val="204"/>
      <scheme val="minor"/>
    </font>
    <font>
      <sz val="12"/>
      <color theme="1"/>
      <name val="Calibri"/>
      <family val="2"/>
      <charset val="204"/>
    </font>
    <font>
      <sz val="14"/>
      <color rgb="FF000000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</borders>
  <cellStyleXfs count="2">
    <xf numFmtId="0" fontId="0" fillId="0" borderId="0"/>
    <xf numFmtId="0" fontId="4" fillId="0" borderId="0"/>
  </cellStyleXfs>
  <cellXfs count="31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horizontal="right"/>
    </xf>
    <xf numFmtId="0" fontId="0" fillId="0" borderId="0" xfId="0" applyFill="1" applyBorder="1" applyAlignment="1"/>
    <xf numFmtId="0" fontId="0" fillId="0" borderId="1" xfId="0" applyFill="1" applyBorder="1" applyAlignment="1"/>
    <xf numFmtId="0" fontId="3" fillId="0" borderId="2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Continuous"/>
    </xf>
    <xf numFmtId="0" fontId="5" fillId="2" borderId="0" xfId="0" applyFont="1" applyFill="1"/>
    <xf numFmtId="0" fontId="0" fillId="2" borderId="0" xfId="0" applyFill="1"/>
    <xf numFmtId="3" fontId="0" fillId="0" borderId="0" xfId="0" applyNumberFormat="1"/>
    <xf numFmtId="164" fontId="6" fillId="3" borderId="3" xfId="1" applyNumberFormat="1" applyFont="1" applyFill="1" applyBorder="1" applyAlignment="1">
      <alignment horizontal="center" vertical="center"/>
    </xf>
    <xf numFmtId="164" fontId="6" fillId="3" borderId="4" xfId="1" applyNumberFormat="1" applyFont="1" applyFill="1" applyBorder="1" applyAlignment="1">
      <alignment horizontal="center" vertical="center"/>
    </xf>
    <xf numFmtId="164" fontId="6" fillId="3" borderId="5" xfId="1" applyNumberFormat="1" applyFont="1" applyFill="1" applyBorder="1" applyAlignment="1">
      <alignment horizontal="center" vertical="center"/>
    </xf>
    <xf numFmtId="0" fontId="1" fillId="4" borderId="0" xfId="0" applyFont="1" applyFill="1"/>
    <xf numFmtId="0" fontId="0" fillId="4" borderId="0" xfId="0" applyFill="1"/>
    <xf numFmtId="0" fontId="0" fillId="5" borderId="0" xfId="0" applyFill="1"/>
    <xf numFmtId="0" fontId="7" fillId="0" borderId="0" xfId="0" applyFont="1"/>
    <xf numFmtId="3" fontId="7" fillId="0" borderId="0" xfId="0" applyNumberFormat="1" applyFont="1"/>
    <xf numFmtId="0" fontId="0" fillId="6" borderId="0" xfId="0" applyFill="1"/>
    <xf numFmtId="0" fontId="0" fillId="0" borderId="0" xfId="0" applyFill="1"/>
    <xf numFmtId="3" fontId="0" fillId="6" borderId="0" xfId="0" applyNumberFormat="1" applyFill="1"/>
    <xf numFmtId="0" fontId="0" fillId="0" borderId="0" xfId="0" applyAlignment="1">
      <alignment wrapText="1"/>
    </xf>
    <xf numFmtId="0" fontId="8" fillId="0" borderId="0" xfId="0" applyFont="1"/>
    <xf numFmtId="0" fontId="6" fillId="0" borderId="0" xfId="0" applyFont="1"/>
    <xf numFmtId="165" fontId="0" fillId="0" borderId="0" xfId="0" applyNumberFormat="1"/>
    <xf numFmtId="0" fontId="9" fillId="0" borderId="0" xfId="0" applyFont="1"/>
    <xf numFmtId="0" fontId="10" fillId="0" borderId="0" xfId="0" applyFont="1"/>
    <xf numFmtId="0" fontId="11" fillId="0" borderId="0" xfId="0" applyFont="1"/>
    <xf numFmtId="3" fontId="6" fillId="0" borderId="0" xfId="0" applyNumberFormat="1" applyFont="1"/>
  </cellXfs>
  <cellStyles count="2">
    <cellStyle name="Обычный" xfId="0" builtinId="0"/>
    <cellStyle name="Обычный 140 3 2" xfId="1" xr:uid="{C4B96E74-06A1-4036-8A03-589153D9081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Динамика</a:t>
            </a:r>
            <a:r>
              <a:rPr lang="ru-RU" baseline="0"/>
              <a:t> добычи нефти в Татарстане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Добыча нефти+Лист1!$B$2:$B$17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Данные!$A$2:$A$17</c:f>
              <c:numCache>
                <c:formatCode>General</c:formatCode>
                <c:ptCount val="1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</c:numCache>
            </c:numRef>
          </c:cat>
          <c:val>
            <c:numRef>
              <c:f>Данные!$B$2:$B$17</c:f>
              <c:numCache>
                <c:formatCode>General</c:formatCode>
                <c:ptCount val="16"/>
                <c:pt idx="0">
                  <c:v>25.8</c:v>
                </c:pt>
                <c:pt idx="1">
                  <c:v>25.9</c:v>
                </c:pt>
                <c:pt idx="2">
                  <c:v>26.3</c:v>
                </c:pt>
                <c:pt idx="3">
                  <c:v>26.4</c:v>
                </c:pt>
                <c:pt idx="4">
                  <c:v>26.5</c:v>
                </c:pt>
                <c:pt idx="5">
                  <c:v>27.2</c:v>
                </c:pt>
                <c:pt idx="6">
                  <c:v>28.6</c:v>
                </c:pt>
                <c:pt idx="7">
                  <c:v>28.9</c:v>
                </c:pt>
                <c:pt idx="8">
                  <c:v>29.5</c:v>
                </c:pt>
                <c:pt idx="9">
                  <c:v>29.8</c:v>
                </c:pt>
                <c:pt idx="10">
                  <c:v>26</c:v>
                </c:pt>
                <c:pt idx="11">
                  <c:v>27.8</c:v>
                </c:pt>
                <c:pt idx="12">
                  <c:v>29.1</c:v>
                </c:pt>
                <c:pt idx="13">
                  <c:v>28.4</c:v>
                </c:pt>
                <c:pt idx="14">
                  <c:v>27.2</c:v>
                </c:pt>
                <c:pt idx="15">
                  <c:v>34.5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5B-4700-B5E8-54F937BAB0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2587263"/>
        <c:axId val="1512589183"/>
      </c:lineChart>
      <c:catAx>
        <c:axId val="15125872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Год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12589183"/>
        <c:crosses val="autoZero"/>
        <c:auto val="1"/>
        <c:lblAlgn val="ctr"/>
        <c:lblOffset val="100"/>
        <c:noMultiLvlLbl val="0"/>
      </c:catAx>
      <c:valAx>
        <c:axId val="1512589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Объем</a:t>
                </a:r>
                <a:r>
                  <a:rPr lang="ru-RU" baseline="0"/>
                  <a:t> добычи нефти, млн. тонн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125872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Линей</a:t>
            </a:r>
            <a:r>
              <a:rPr lang="ru-RU" baseline="0"/>
              <a:t>ный тренд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1.2504265863892463E-2"/>
                  <c:y val="-0.3794940070572736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53966697713584122"/>
                  <c:y val="-0.370604166185425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Данные!$D$22:$D$37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Данные!$C$22:$C$37</c:f>
              <c:numCache>
                <c:formatCode>General</c:formatCode>
                <c:ptCount val="16"/>
                <c:pt idx="0">
                  <c:v>88.2</c:v>
                </c:pt>
                <c:pt idx="1">
                  <c:v>67.2</c:v>
                </c:pt>
                <c:pt idx="2">
                  <c:v>63.6</c:v>
                </c:pt>
                <c:pt idx="3">
                  <c:v>84.8</c:v>
                </c:pt>
                <c:pt idx="4">
                  <c:v>71.8</c:v>
                </c:pt>
                <c:pt idx="5">
                  <c:v>119.2</c:v>
                </c:pt>
                <c:pt idx="6">
                  <c:v>97.2</c:v>
                </c:pt>
                <c:pt idx="7">
                  <c:v>89.3</c:v>
                </c:pt>
                <c:pt idx="8">
                  <c:v>97.8</c:v>
                </c:pt>
                <c:pt idx="9">
                  <c:v>129.6</c:v>
                </c:pt>
                <c:pt idx="10">
                  <c:v>103.3</c:v>
                </c:pt>
                <c:pt idx="11">
                  <c:v>128.30000000000001</c:v>
                </c:pt>
                <c:pt idx="12">
                  <c:v>184.4</c:v>
                </c:pt>
                <c:pt idx="13">
                  <c:v>287.5</c:v>
                </c:pt>
                <c:pt idx="14">
                  <c:v>235.8</c:v>
                </c:pt>
                <c:pt idx="15">
                  <c:v>176.8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C5A-4830-9F2A-0DE4F136A1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2986175"/>
        <c:axId val="1652974655"/>
      </c:scatterChart>
      <c:valAx>
        <c:axId val="16529861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52974655"/>
        <c:crosses val="autoZero"/>
        <c:crossBetween val="midCat"/>
      </c:valAx>
      <c:valAx>
        <c:axId val="1652974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529861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Прогноз</a:t>
            </a:r>
            <a:r>
              <a:rPr lang="ru-RU" baseline="0"/>
              <a:t> д</a:t>
            </a:r>
            <a:r>
              <a:rPr lang="ru-RU"/>
              <a:t>обычи</a:t>
            </a:r>
            <a:r>
              <a:rPr lang="ru-RU" baseline="0"/>
              <a:t> нефти в Республике Татарстан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16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8674-4998-8EBB-112FBC2BAC5A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rgbClr val="C00000"/>
                </a:solidFill>
                <a:ln w="9525">
                  <a:solidFill>
                    <a:srgbClr val="C00000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C0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8674-4998-8EBB-112FBC2BAC5A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rgbClr val="C00000"/>
                </a:solidFill>
                <a:ln w="9525">
                  <a:solidFill>
                    <a:srgbClr val="C00000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C0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8674-4998-8EBB-112FBC2BAC5A}"/>
              </c:ext>
            </c:extLst>
          </c:dPt>
          <c:dPt>
            <c:idx val="19"/>
            <c:marker>
              <c:symbol val="circle"/>
              <c:size val="5"/>
              <c:spPr>
                <a:solidFill>
                  <a:srgbClr val="C00000"/>
                </a:solidFill>
                <a:ln w="9525">
                  <a:solidFill>
                    <a:srgbClr val="C00000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C0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8674-4998-8EBB-112FBC2BAC5A}"/>
              </c:ext>
            </c:extLst>
          </c:dPt>
          <c:cat>
            <c:numRef>
              <c:f>Данные!$A$2:$A$21</c:f>
              <c:numCache>
                <c:formatCode>General</c:formatCode>
                <c:ptCount val="2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</c:numCache>
            </c:numRef>
          </c:cat>
          <c:val>
            <c:numRef>
              <c:f>Данные!$T$2:$T$21</c:f>
              <c:numCache>
                <c:formatCode>General</c:formatCode>
                <c:ptCount val="20"/>
                <c:pt idx="0">
                  <c:v>25.8</c:v>
                </c:pt>
                <c:pt idx="1">
                  <c:v>25.9</c:v>
                </c:pt>
                <c:pt idx="2">
                  <c:v>26.3</c:v>
                </c:pt>
                <c:pt idx="3">
                  <c:v>26.4</c:v>
                </c:pt>
                <c:pt idx="4">
                  <c:v>26.5</c:v>
                </c:pt>
                <c:pt idx="5">
                  <c:v>27.2</c:v>
                </c:pt>
                <c:pt idx="6">
                  <c:v>28.6</c:v>
                </c:pt>
                <c:pt idx="7">
                  <c:v>28.9</c:v>
                </c:pt>
                <c:pt idx="8">
                  <c:v>29.5</c:v>
                </c:pt>
                <c:pt idx="9">
                  <c:v>29.8</c:v>
                </c:pt>
                <c:pt idx="10">
                  <c:v>26</c:v>
                </c:pt>
                <c:pt idx="11">
                  <c:v>27.8</c:v>
                </c:pt>
                <c:pt idx="12">
                  <c:v>29.1</c:v>
                </c:pt>
                <c:pt idx="13">
                  <c:v>28.4</c:v>
                </c:pt>
                <c:pt idx="14">
                  <c:v>27.2</c:v>
                </c:pt>
                <c:pt idx="15">
                  <c:v>34.5</c:v>
                </c:pt>
                <c:pt idx="16">
                  <c:v>28.8</c:v>
                </c:pt>
                <c:pt idx="17">
                  <c:v>28.9</c:v>
                </c:pt>
                <c:pt idx="18">
                  <c:v>29</c:v>
                </c:pt>
                <c:pt idx="19">
                  <c:v>29.1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74-4998-8EBB-112FBC2BAC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1724960"/>
        <c:axId val="221715360"/>
      </c:lineChart>
      <c:catAx>
        <c:axId val="2217249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Год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21715360"/>
        <c:crosses val="autoZero"/>
        <c:auto val="1"/>
        <c:lblAlgn val="ctr"/>
        <c:lblOffset val="100"/>
        <c:noMultiLvlLbl val="0"/>
      </c:catAx>
      <c:valAx>
        <c:axId val="221715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млн.</a:t>
                </a:r>
                <a:r>
                  <a:rPr lang="ru-RU" baseline="0"/>
                  <a:t> тонн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21724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Действующие</a:t>
            </a:r>
            <a:r>
              <a:rPr lang="ru-RU" baseline="0"/>
              <a:t> скважины в Республике Татарстан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16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C0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1C70-4DC4-BD45-1060FE3F8C90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C0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1C70-4DC4-BD45-1060FE3F8C90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C0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1C70-4DC4-BD45-1060FE3F8C90}"/>
              </c:ext>
            </c:extLst>
          </c:dPt>
          <c:dPt>
            <c:idx val="19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1C70-4DC4-BD45-1060FE3F8C90}"/>
              </c:ext>
            </c:extLst>
          </c:dPt>
          <c:cat>
            <c:numRef>
              <c:f>Данные!$A$2:$A$21</c:f>
              <c:numCache>
                <c:formatCode>General</c:formatCode>
                <c:ptCount val="2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</c:numCache>
            </c:numRef>
          </c:cat>
          <c:val>
            <c:numRef>
              <c:f>Данные!$W$2:$W$21</c:f>
              <c:numCache>
                <c:formatCode>General</c:formatCode>
                <c:ptCount val="20"/>
                <c:pt idx="0">
                  <c:v>20238</c:v>
                </c:pt>
                <c:pt idx="1">
                  <c:v>20246</c:v>
                </c:pt>
                <c:pt idx="2">
                  <c:v>19821</c:v>
                </c:pt>
                <c:pt idx="3">
                  <c:v>20257</c:v>
                </c:pt>
                <c:pt idx="4">
                  <c:v>20251</c:v>
                </c:pt>
                <c:pt idx="5">
                  <c:v>20191</c:v>
                </c:pt>
                <c:pt idx="6">
                  <c:v>20460</c:v>
                </c:pt>
                <c:pt idx="7">
                  <c:v>19043</c:v>
                </c:pt>
                <c:pt idx="8">
                  <c:v>20986</c:v>
                </c:pt>
                <c:pt idx="9">
                  <c:v>21521</c:v>
                </c:pt>
                <c:pt idx="10">
                  <c:v>21815</c:v>
                </c:pt>
                <c:pt idx="11">
                  <c:v>22146</c:v>
                </c:pt>
                <c:pt idx="12">
                  <c:v>22450</c:v>
                </c:pt>
                <c:pt idx="13">
                  <c:v>22206</c:v>
                </c:pt>
                <c:pt idx="14">
                  <c:v>21975</c:v>
                </c:pt>
                <c:pt idx="15">
                  <c:v>22045</c:v>
                </c:pt>
                <c:pt idx="16">
                  <c:v>21726.065200000001</c:v>
                </c:pt>
                <c:pt idx="17">
                  <c:v>21842.035600000003</c:v>
                </c:pt>
                <c:pt idx="18">
                  <c:v>21958.006000000001</c:v>
                </c:pt>
                <c:pt idx="19">
                  <c:v>22073.9764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70-4DC4-BD45-1060FE3F8C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0591632"/>
        <c:axId val="2030585392"/>
      </c:lineChart>
      <c:catAx>
        <c:axId val="20305916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Год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30585392"/>
        <c:crosses val="autoZero"/>
        <c:auto val="1"/>
        <c:lblAlgn val="ctr"/>
        <c:lblOffset val="100"/>
        <c:noMultiLvlLbl val="0"/>
      </c:catAx>
      <c:valAx>
        <c:axId val="2030585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тысяч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30591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Сравнение</a:t>
            </a:r>
            <a:r>
              <a:rPr lang="ru-RU" baseline="0"/>
              <a:t> добычи нефти по РФ и в Республике Татарстан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Данные!$C$2:$C$17</c:f>
              <c:strCache>
                <c:ptCount val="16"/>
                <c:pt idx="0">
                  <c:v>534</c:v>
                </c:pt>
                <c:pt idx="1">
                  <c:v>524</c:v>
                </c:pt>
                <c:pt idx="2">
                  <c:v>512,7</c:v>
                </c:pt>
                <c:pt idx="3">
                  <c:v>560,2</c:v>
                </c:pt>
                <c:pt idx="4">
                  <c:v>555,8</c:v>
                </c:pt>
                <c:pt idx="5">
                  <c:v>546,8</c:v>
                </c:pt>
                <c:pt idx="6">
                  <c:v>547,5</c:v>
                </c:pt>
                <c:pt idx="7">
                  <c:v>534,1</c:v>
                </c:pt>
                <c:pt idx="8">
                  <c:v>526,8</c:v>
                </c:pt>
                <c:pt idx="9">
                  <c:v>523,3</c:v>
                </c:pt>
                <c:pt idx="10">
                  <c:v>518</c:v>
                </c:pt>
                <c:pt idx="11">
                  <c:v>511,4</c:v>
                </c:pt>
                <c:pt idx="12">
                  <c:v>505,2</c:v>
                </c:pt>
                <c:pt idx="13">
                  <c:v> 530</c:v>
                </c:pt>
                <c:pt idx="14">
                  <c:v>516</c:v>
                </c:pt>
                <c:pt idx="15">
                  <c:v>512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Данные!$A$2:$A$17</c:f>
              <c:numCache>
                <c:formatCode>General</c:formatCode>
                <c:ptCount val="1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</c:numCache>
            </c:numRef>
          </c:cat>
          <c:val>
            <c:numRef>
              <c:f>Данные!$C$2:$C$17</c:f>
              <c:numCache>
                <c:formatCode>General</c:formatCode>
                <c:ptCount val="16"/>
                <c:pt idx="0">
                  <c:v>534</c:v>
                </c:pt>
                <c:pt idx="1">
                  <c:v>524</c:v>
                </c:pt>
                <c:pt idx="2">
                  <c:v>512.70000000000005</c:v>
                </c:pt>
                <c:pt idx="3">
                  <c:v>560.20000000000005</c:v>
                </c:pt>
                <c:pt idx="4">
                  <c:v>555.79999999999995</c:v>
                </c:pt>
                <c:pt idx="5">
                  <c:v>546.79999999999995</c:v>
                </c:pt>
                <c:pt idx="6">
                  <c:v>547.5</c:v>
                </c:pt>
                <c:pt idx="7">
                  <c:v>534.1</c:v>
                </c:pt>
                <c:pt idx="8">
                  <c:v>526.79999999999995</c:v>
                </c:pt>
                <c:pt idx="9">
                  <c:v>523.29999999999995</c:v>
                </c:pt>
                <c:pt idx="10">
                  <c:v>518</c:v>
                </c:pt>
                <c:pt idx="11">
                  <c:v>511.4</c:v>
                </c:pt>
                <c:pt idx="12">
                  <c:v>505.2</c:v>
                </c:pt>
                <c:pt idx="13">
                  <c:v>0</c:v>
                </c:pt>
                <c:pt idx="14">
                  <c:v>516</c:v>
                </c:pt>
                <c:pt idx="15">
                  <c:v>512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BA-4067-8906-7FD1EB501836}"/>
            </c:ext>
          </c:extLst>
        </c:ser>
        <c:ser>
          <c:idx val="1"/>
          <c:order val="1"/>
          <c:tx>
            <c:strRef>
              <c:f>Данные!$B$2:$B$17</c:f>
              <c:strCache>
                <c:ptCount val="16"/>
                <c:pt idx="0">
                  <c:v>25,8</c:v>
                </c:pt>
                <c:pt idx="1">
                  <c:v>25,9</c:v>
                </c:pt>
                <c:pt idx="2">
                  <c:v>26,3</c:v>
                </c:pt>
                <c:pt idx="3">
                  <c:v>26,4</c:v>
                </c:pt>
                <c:pt idx="4">
                  <c:v>26,5</c:v>
                </c:pt>
                <c:pt idx="5">
                  <c:v>27,2</c:v>
                </c:pt>
                <c:pt idx="6">
                  <c:v>28,6</c:v>
                </c:pt>
                <c:pt idx="7">
                  <c:v>28,9</c:v>
                </c:pt>
                <c:pt idx="8">
                  <c:v>29,5</c:v>
                </c:pt>
                <c:pt idx="9">
                  <c:v>29,8</c:v>
                </c:pt>
                <c:pt idx="10">
                  <c:v>26</c:v>
                </c:pt>
                <c:pt idx="11">
                  <c:v>27,8</c:v>
                </c:pt>
                <c:pt idx="12">
                  <c:v>29,1</c:v>
                </c:pt>
                <c:pt idx="13">
                  <c:v>28,4</c:v>
                </c:pt>
                <c:pt idx="14">
                  <c:v>27,2</c:v>
                </c:pt>
                <c:pt idx="15">
                  <c:v>34,5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Данные!$A$2:$A$17</c:f>
              <c:numCache>
                <c:formatCode>General</c:formatCode>
                <c:ptCount val="1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</c:numCache>
            </c:numRef>
          </c:cat>
          <c:val>
            <c:numRef>
              <c:f>Данные!$B$2:$B$17</c:f>
              <c:numCache>
                <c:formatCode>General</c:formatCode>
                <c:ptCount val="16"/>
                <c:pt idx="0">
                  <c:v>25.8</c:v>
                </c:pt>
                <c:pt idx="1">
                  <c:v>25.9</c:v>
                </c:pt>
                <c:pt idx="2">
                  <c:v>26.3</c:v>
                </c:pt>
                <c:pt idx="3">
                  <c:v>26.4</c:v>
                </c:pt>
                <c:pt idx="4">
                  <c:v>26.5</c:v>
                </c:pt>
                <c:pt idx="5">
                  <c:v>27.2</c:v>
                </c:pt>
                <c:pt idx="6">
                  <c:v>28.6</c:v>
                </c:pt>
                <c:pt idx="7">
                  <c:v>28.9</c:v>
                </c:pt>
                <c:pt idx="8">
                  <c:v>29.5</c:v>
                </c:pt>
                <c:pt idx="9">
                  <c:v>29.8</c:v>
                </c:pt>
                <c:pt idx="10">
                  <c:v>26</c:v>
                </c:pt>
                <c:pt idx="11">
                  <c:v>27.8</c:v>
                </c:pt>
                <c:pt idx="12">
                  <c:v>29.1</c:v>
                </c:pt>
                <c:pt idx="13">
                  <c:v>28.4</c:v>
                </c:pt>
                <c:pt idx="14">
                  <c:v>27.2</c:v>
                </c:pt>
                <c:pt idx="15">
                  <c:v>34.5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BA-4067-8906-7FD1EB5018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14116607"/>
        <c:axId val="1614120927"/>
      </c:barChart>
      <c:catAx>
        <c:axId val="16141166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Год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14120927"/>
        <c:crosses val="autoZero"/>
        <c:auto val="1"/>
        <c:lblAlgn val="ctr"/>
        <c:lblOffset val="100"/>
        <c:noMultiLvlLbl val="0"/>
      </c:catAx>
      <c:valAx>
        <c:axId val="1614120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Объем</a:t>
                </a:r>
                <a:r>
                  <a:rPr lang="ru-RU" baseline="0"/>
                  <a:t> добычи нефти млн. тонн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141166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Прогноз</a:t>
            </a:r>
            <a:r>
              <a:rPr lang="ru-RU" baseline="0"/>
              <a:t> инвестиций в добычу нефти в Республике Татарстан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16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rgbClr val="FF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4C87-4407-9B30-30D66B739E3D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rgbClr val="FF0000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A-4C87-4407-9B30-30D66B739E3D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rgbClr val="FF0000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4C87-4407-9B30-30D66B739E3D}"/>
              </c:ext>
            </c:extLst>
          </c:dPt>
          <c:dPt>
            <c:idx val="19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rgbClr val="FF0000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4C87-4407-9B30-30D66B739E3D}"/>
              </c:ext>
            </c:extLst>
          </c:dPt>
          <c:cat>
            <c:numRef>
              <c:f>Данные!$A$2:$A$21</c:f>
              <c:numCache>
                <c:formatCode>General</c:formatCode>
                <c:ptCount val="2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</c:numCache>
            </c:numRef>
          </c:cat>
          <c:val>
            <c:numRef>
              <c:f>Данные!$C$22:$C$41</c:f>
              <c:numCache>
                <c:formatCode>General</c:formatCode>
                <c:ptCount val="20"/>
                <c:pt idx="0">
                  <c:v>88.2</c:v>
                </c:pt>
                <c:pt idx="1">
                  <c:v>67.2</c:v>
                </c:pt>
                <c:pt idx="2">
                  <c:v>63.6</c:v>
                </c:pt>
                <c:pt idx="3">
                  <c:v>84.8</c:v>
                </c:pt>
                <c:pt idx="4">
                  <c:v>71.8</c:v>
                </c:pt>
                <c:pt idx="5">
                  <c:v>119.2</c:v>
                </c:pt>
                <c:pt idx="6">
                  <c:v>97.2</c:v>
                </c:pt>
                <c:pt idx="7">
                  <c:v>89.3</c:v>
                </c:pt>
                <c:pt idx="8">
                  <c:v>97.8</c:v>
                </c:pt>
                <c:pt idx="9">
                  <c:v>129.6</c:v>
                </c:pt>
                <c:pt idx="10">
                  <c:v>103.3</c:v>
                </c:pt>
                <c:pt idx="11">
                  <c:v>128.30000000000001</c:v>
                </c:pt>
                <c:pt idx="12">
                  <c:v>184.4</c:v>
                </c:pt>
                <c:pt idx="13">
                  <c:v>287.5</c:v>
                </c:pt>
                <c:pt idx="14">
                  <c:v>235.8</c:v>
                </c:pt>
                <c:pt idx="15">
                  <c:v>176.8</c:v>
                </c:pt>
                <c:pt idx="16">
                  <c:v>147.26900000000001</c:v>
                </c:pt>
                <c:pt idx="17">
                  <c:v>158.00700000000001</c:v>
                </c:pt>
                <c:pt idx="18">
                  <c:v>168.745</c:v>
                </c:pt>
                <c:pt idx="19">
                  <c:v>179.483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C87-4407-9B30-30D66B739E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3578720"/>
        <c:axId val="1543593120"/>
      </c:lineChart>
      <c:catAx>
        <c:axId val="15435787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Год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43593120"/>
        <c:crosses val="autoZero"/>
        <c:auto val="1"/>
        <c:lblAlgn val="ctr"/>
        <c:lblOffset val="100"/>
        <c:noMultiLvlLbl val="0"/>
      </c:catAx>
      <c:valAx>
        <c:axId val="1543593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Инвестиции</a:t>
                </a:r>
                <a:r>
                  <a:rPr lang="ru-RU" baseline="0"/>
                  <a:t> млрд. рублей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43578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227463</xdr:colOff>
      <xdr:row>5</xdr:row>
      <xdr:rowOff>113731</xdr:rowOff>
    </xdr:from>
    <xdr:to>
      <xdr:col>19</xdr:col>
      <xdr:colOff>555612</xdr:colOff>
      <xdr:row>7</xdr:row>
      <xdr:rowOff>120557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DE939165-0743-4091-AB4C-7797E11915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98343" y="1614871"/>
          <a:ext cx="937748" cy="37258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968452</xdr:colOff>
      <xdr:row>28</xdr:row>
      <xdr:rowOff>100513</xdr:rowOff>
    </xdr:from>
    <xdr:to>
      <xdr:col>31</xdr:col>
      <xdr:colOff>497014</xdr:colOff>
      <xdr:row>46</xdr:row>
      <xdr:rowOff>83352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242ACD8F-9E6E-3FFC-9F9A-DBA34AF6DF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1522008</xdr:colOff>
      <xdr:row>43</xdr:row>
      <xdr:rowOff>26049</xdr:rowOff>
    </xdr:from>
    <xdr:to>
      <xdr:col>5</xdr:col>
      <xdr:colOff>547544</xdr:colOff>
      <xdr:row>58</xdr:row>
      <xdr:rowOff>106109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AE99F194-B0E2-7CB1-5BF9-614319C99B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365331</xdr:colOff>
      <xdr:row>0</xdr:row>
      <xdr:rowOff>154873</xdr:rowOff>
    </xdr:from>
    <xdr:to>
      <xdr:col>16</xdr:col>
      <xdr:colOff>46182</xdr:colOff>
      <xdr:row>9</xdr:row>
      <xdr:rowOff>118092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C3E7EE71-D0EA-6706-03FB-1BF334F14A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379247</xdr:colOff>
      <xdr:row>10</xdr:row>
      <xdr:rowOff>65690</xdr:rowOff>
    </xdr:from>
    <xdr:to>
      <xdr:col>16</xdr:col>
      <xdr:colOff>70944</xdr:colOff>
      <xdr:row>21</xdr:row>
      <xdr:rowOff>200573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7561B3FA-B378-2EC9-5B70-DAD85A0C09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307097</xdr:colOff>
      <xdr:row>22</xdr:row>
      <xdr:rowOff>183451</xdr:rowOff>
    </xdr:from>
    <xdr:to>
      <xdr:col>17</xdr:col>
      <xdr:colOff>606189</xdr:colOff>
      <xdr:row>35</xdr:row>
      <xdr:rowOff>46294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C293E27D-59AD-D54B-F589-F231AE90EF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90237</xdr:colOff>
      <xdr:row>38</xdr:row>
      <xdr:rowOff>212557</xdr:rowOff>
    </xdr:from>
    <xdr:to>
      <xdr:col>16</xdr:col>
      <xdr:colOff>451184</xdr:colOff>
      <xdr:row>53</xdr:row>
      <xdr:rowOff>128336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B235A7FC-9D64-4037-C981-2466CA393D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B883B-FD73-48CE-9047-0671CC915D2F}">
  <dimension ref="A1:H16"/>
  <sheetViews>
    <sheetView workbookViewId="0">
      <selection activeCell="K4" sqref="K4"/>
    </sheetView>
  </sheetViews>
  <sheetFormatPr defaultRowHeight="14.25"/>
  <cols>
    <col min="1" max="1" width="24.875" bestFit="1" customWidth="1"/>
    <col min="2" max="2" width="18.375" customWidth="1"/>
    <col min="3" max="3" width="24.875" bestFit="1" customWidth="1"/>
    <col min="4" max="4" width="16.5" customWidth="1"/>
    <col min="5" max="5" width="24.875" bestFit="1" customWidth="1"/>
    <col min="6" max="6" width="15.75" customWidth="1"/>
    <col min="7" max="7" width="27.625" customWidth="1"/>
    <col min="8" max="8" width="12" bestFit="1" customWidth="1"/>
  </cols>
  <sheetData>
    <row r="1" spans="1:8">
      <c r="A1" s="7" t="s">
        <v>20</v>
      </c>
      <c r="B1" s="7"/>
      <c r="C1" s="7" t="s">
        <v>21</v>
      </c>
      <c r="D1" s="7"/>
      <c r="E1" s="7" t="s">
        <v>22</v>
      </c>
      <c r="F1" s="7"/>
      <c r="G1" s="7" t="s">
        <v>23</v>
      </c>
      <c r="H1" s="7"/>
    </row>
    <row r="2" spans="1:8">
      <c r="A2" s="5"/>
      <c r="B2" s="5"/>
      <c r="C2" s="5"/>
      <c r="D2" s="5"/>
      <c r="E2" s="5"/>
      <c r="F2" s="5"/>
      <c r="G2" s="5"/>
      <c r="H2" s="5"/>
    </row>
    <row r="3" spans="1:8">
      <c r="A3" s="5" t="s">
        <v>6</v>
      </c>
      <c r="B3" s="5">
        <v>27.993749999999999</v>
      </c>
      <c r="C3" s="5" t="s">
        <v>6</v>
      </c>
      <c r="D3" s="5">
        <v>528.61249999999995</v>
      </c>
      <c r="E3" s="5" t="s">
        <v>6</v>
      </c>
      <c r="F3" s="5">
        <v>20978.1875</v>
      </c>
      <c r="G3" s="5" t="s">
        <v>6</v>
      </c>
      <c r="H3" s="5">
        <v>119.84374999999999</v>
      </c>
    </row>
    <row r="4" spans="1:8">
      <c r="A4" s="5" t="s">
        <v>7</v>
      </c>
      <c r="B4" s="5">
        <v>0.54980820519522988</v>
      </c>
      <c r="C4" s="5" t="s">
        <v>7</v>
      </c>
      <c r="D4" s="5">
        <v>4.1751235011673602</v>
      </c>
      <c r="E4" s="5" t="s">
        <v>7</v>
      </c>
      <c r="F4" s="5">
        <v>260.36298730090266</v>
      </c>
      <c r="G4" s="5" t="s">
        <v>7</v>
      </c>
      <c r="H4" s="5">
        <v>17.495492202159781</v>
      </c>
    </row>
    <row r="5" spans="1:8">
      <c r="A5" s="5" t="s">
        <v>8</v>
      </c>
      <c r="B5" s="5">
        <v>27.5</v>
      </c>
      <c r="C5" s="5" t="s">
        <v>8</v>
      </c>
      <c r="D5" s="5">
        <v>525.4</v>
      </c>
      <c r="E5" s="5" t="s">
        <v>8</v>
      </c>
      <c r="F5" s="5">
        <v>20723</v>
      </c>
      <c r="G5" s="5" t="s">
        <v>8</v>
      </c>
      <c r="H5" s="5">
        <v>97.5</v>
      </c>
    </row>
    <row r="6" spans="1:8">
      <c r="A6" s="5" t="s">
        <v>9</v>
      </c>
      <c r="B6" s="5">
        <v>27.2</v>
      </c>
      <c r="C6" s="5" t="s">
        <v>9</v>
      </c>
      <c r="D6" s="5" t="e">
        <v>#N/A</v>
      </c>
      <c r="E6" s="5" t="s">
        <v>9</v>
      </c>
      <c r="F6" s="5" t="e">
        <v>#N/A</v>
      </c>
      <c r="G6" s="5" t="s">
        <v>9</v>
      </c>
      <c r="H6" s="5" t="e">
        <v>#N/A</v>
      </c>
    </row>
    <row r="7" spans="1:8">
      <c r="A7" s="5" t="s">
        <v>10</v>
      </c>
      <c r="B7" s="5">
        <v>2.1992328207809195</v>
      </c>
      <c r="C7" s="5" t="s">
        <v>10</v>
      </c>
      <c r="D7" s="5">
        <v>16.700494004669441</v>
      </c>
      <c r="E7" s="5" t="s">
        <v>10</v>
      </c>
      <c r="F7" s="5">
        <v>1041.4519492036106</v>
      </c>
      <c r="G7" s="5" t="s">
        <v>10</v>
      </c>
      <c r="H7" s="5">
        <v>69.981968808639124</v>
      </c>
    </row>
    <row r="8" spans="1:8">
      <c r="A8" s="5" t="s">
        <v>11</v>
      </c>
      <c r="B8" s="5">
        <v>4.8366250000000006</v>
      </c>
      <c r="C8" s="5" t="s">
        <v>11</v>
      </c>
      <c r="D8" s="5">
        <v>278.90649999999999</v>
      </c>
      <c r="E8" s="5" t="s">
        <v>11</v>
      </c>
      <c r="F8" s="5">
        <v>1084622.1625000001</v>
      </c>
      <c r="G8" s="5" t="s">
        <v>11</v>
      </c>
      <c r="H8" s="5">
        <v>4897.4759583333389</v>
      </c>
    </row>
    <row r="9" spans="1:8">
      <c r="A9" s="5" t="s">
        <v>12</v>
      </c>
      <c r="B9" s="5">
        <v>4.3354326299248536</v>
      </c>
      <c r="C9" s="5" t="s">
        <v>12</v>
      </c>
      <c r="D9" s="5">
        <v>-0.70128993431227959</v>
      </c>
      <c r="E9" s="5" t="s">
        <v>12</v>
      </c>
      <c r="F9" s="5">
        <v>-1.244516763363464</v>
      </c>
      <c r="G9" s="5" t="s">
        <v>12</v>
      </c>
      <c r="H9" s="5">
        <v>1.1161385419486249</v>
      </c>
    </row>
    <row r="10" spans="1:8">
      <c r="A10" s="5" t="s">
        <v>13</v>
      </c>
      <c r="B10" s="5">
        <v>1.7635508930602806</v>
      </c>
      <c r="C10" s="5" t="s">
        <v>13</v>
      </c>
      <c r="D10" s="5">
        <v>0.56741844764933291</v>
      </c>
      <c r="E10" s="5" t="s">
        <v>13</v>
      </c>
      <c r="F10" s="5">
        <v>-9.4360989763134312E-2</v>
      </c>
      <c r="G10" s="5" t="s">
        <v>13</v>
      </c>
      <c r="H10" s="5">
        <v>1.0902850305404772</v>
      </c>
    </row>
    <row r="11" spans="1:8">
      <c r="A11" s="5" t="s">
        <v>14</v>
      </c>
      <c r="B11" s="5">
        <v>8.6999999999999993</v>
      </c>
      <c r="C11" s="5" t="s">
        <v>14</v>
      </c>
      <c r="D11" s="5">
        <v>55.000000000000057</v>
      </c>
      <c r="E11" s="5" t="s">
        <v>14</v>
      </c>
      <c r="F11" s="5">
        <v>3407</v>
      </c>
      <c r="G11" s="5" t="s">
        <v>14</v>
      </c>
      <c r="H11" s="5">
        <v>275.60000000000002</v>
      </c>
    </row>
    <row r="12" spans="1:8">
      <c r="A12" s="5" t="s">
        <v>15</v>
      </c>
      <c r="B12" s="5">
        <v>25.8</v>
      </c>
      <c r="C12" s="5" t="s">
        <v>15</v>
      </c>
      <c r="D12" s="5">
        <v>505.2</v>
      </c>
      <c r="E12" s="5" t="s">
        <v>15</v>
      </c>
      <c r="F12" s="5">
        <v>19043</v>
      </c>
      <c r="G12" s="5" t="s">
        <v>15</v>
      </c>
      <c r="H12" s="5">
        <v>11.9</v>
      </c>
    </row>
    <row r="13" spans="1:8">
      <c r="A13" s="5" t="s">
        <v>16</v>
      </c>
      <c r="B13" s="5">
        <v>34.5</v>
      </c>
      <c r="C13" s="5" t="s">
        <v>16</v>
      </c>
      <c r="D13" s="5">
        <v>560.20000000000005</v>
      </c>
      <c r="E13" s="5" t="s">
        <v>16</v>
      </c>
      <c r="F13" s="5">
        <v>22450</v>
      </c>
      <c r="G13" s="5" t="s">
        <v>16</v>
      </c>
      <c r="H13" s="5">
        <v>287.5</v>
      </c>
    </row>
    <row r="14" spans="1:8">
      <c r="A14" s="5" t="s">
        <v>17</v>
      </c>
      <c r="B14" s="5">
        <v>447.9</v>
      </c>
      <c r="C14" s="5" t="s">
        <v>17</v>
      </c>
      <c r="D14" s="5">
        <v>8457.7999999999993</v>
      </c>
      <c r="E14" s="5" t="s">
        <v>17</v>
      </c>
      <c r="F14" s="5">
        <v>335651</v>
      </c>
      <c r="G14" s="5" t="s">
        <v>17</v>
      </c>
      <c r="H14" s="5">
        <v>1917.4999999999998</v>
      </c>
    </row>
    <row r="15" spans="1:8">
      <c r="A15" s="5" t="s">
        <v>18</v>
      </c>
      <c r="B15" s="5">
        <v>16</v>
      </c>
      <c r="C15" s="5" t="s">
        <v>18</v>
      </c>
      <c r="D15" s="5">
        <v>16</v>
      </c>
      <c r="E15" s="5" t="s">
        <v>18</v>
      </c>
      <c r="F15" s="5">
        <v>16</v>
      </c>
      <c r="G15" s="5" t="s">
        <v>18</v>
      </c>
      <c r="H15" s="5">
        <v>16</v>
      </c>
    </row>
    <row r="16" spans="1:8" ht="15" thickBot="1">
      <c r="A16" s="6" t="s">
        <v>19</v>
      </c>
      <c r="B16" s="6">
        <v>1.1718884491084078</v>
      </c>
      <c r="C16" s="6" t="s">
        <v>19</v>
      </c>
      <c r="D16" s="6">
        <v>8.8990650892191034</v>
      </c>
      <c r="E16" s="6" t="s">
        <v>19</v>
      </c>
      <c r="F16" s="6">
        <v>554.95057096309426</v>
      </c>
      <c r="G16" s="6" t="s">
        <v>19</v>
      </c>
      <c r="H16" s="6">
        <v>37.290758903638036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43493-FCFC-42CD-A9D3-0DF9E897B286}">
  <dimension ref="A1:I39"/>
  <sheetViews>
    <sheetView zoomScale="105" workbookViewId="0">
      <selection activeCell="F25" sqref="F25"/>
    </sheetView>
  </sheetViews>
  <sheetFormatPr defaultRowHeight="14.25"/>
  <cols>
    <col min="1" max="1" width="23.875" bestFit="1" customWidth="1"/>
    <col min="2" max="2" width="20.25" bestFit="1" customWidth="1"/>
    <col min="3" max="3" width="20.875" bestFit="1" customWidth="1"/>
    <col min="4" max="4" width="22.875" bestFit="1" customWidth="1"/>
    <col min="5" max="5" width="12" bestFit="1" customWidth="1"/>
    <col min="6" max="6" width="13.75" bestFit="1" customWidth="1"/>
    <col min="7" max="7" width="12.5" bestFit="1" customWidth="1"/>
    <col min="8" max="8" width="13.75" bestFit="1" customWidth="1"/>
    <col min="9" max="9" width="14" bestFit="1" customWidth="1"/>
  </cols>
  <sheetData>
    <row r="1" spans="1:9">
      <c r="A1" t="s">
        <v>24</v>
      </c>
    </row>
    <row r="2" spans="1:9" ht="15" thickBot="1"/>
    <row r="3" spans="1:9">
      <c r="A3" s="8" t="s">
        <v>25</v>
      </c>
      <c r="B3" s="8"/>
    </row>
    <row r="4" spans="1:9">
      <c r="A4" s="5" t="s">
        <v>26</v>
      </c>
      <c r="B4" s="5">
        <v>0.73702771968992797</v>
      </c>
    </row>
    <row r="5" spans="1:9">
      <c r="A5" s="5" t="s">
        <v>27</v>
      </c>
      <c r="B5" s="5">
        <v>0.54320985959133505</v>
      </c>
    </row>
    <row r="6" spans="1:9">
      <c r="A6" s="5" t="s">
        <v>28</v>
      </c>
      <c r="B6" s="5">
        <v>0.50807215648297621</v>
      </c>
      <c r="D6" t="s">
        <v>60</v>
      </c>
      <c r="E6">
        <f>_xlfn.F.INV.RT(0.05,B12,B13)</f>
        <v>4.6671927318268525</v>
      </c>
    </row>
    <row r="7" spans="1:9">
      <c r="A7" s="5" t="s">
        <v>7</v>
      </c>
      <c r="B7" s="5">
        <v>727.33152966283683</v>
      </c>
      <c r="D7" t="s">
        <v>52</v>
      </c>
      <c r="E7">
        <f>_xlfn.T.INV.2T(0.05,B13)</f>
        <v>2.1603686564627926</v>
      </c>
    </row>
    <row r="8" spans="1:9" ht="15" thickBot="1">
      <c r="A8" s="6" t="s">
        <v>29</v>
      </c>
      <c r="B8" s="6">
        <v>15</v>
      </c>
    </row>
    <row r="10" spans="1:9" ht="15" thickBot="1">
      <c r="A10" t="s">
        <v>30</v>
      </c>
    </row>
    <row r="11" spans="1:9">
      <c r="A11" s="7"/>
      <c r="B11" s="7" t="s">
        <v>35</v>
      </c>
      <c r="C11" s="7" t="s">
        <v>36</v>
      </c>
      <c r="D11" s="7" t="s">
        <v>37</v>
      </c>
      <c r="E11" s="7" t="s">
        <v>38</v>
      </c>
      <c r="F11" s="7" t="s">
        <v>39</v>
      </c>
    </row>
    <row r="12" spans="1:9">
      <c r="A12" s="5" t="s">
        <v>31</v>
      </c>
      <c r="B12" s="5">
        <v>1</v>
      </c>
      <c r="C12" s="5">
        <v>8178225.9307914684</v>
      </c>
      <c r="D12" s="5">
        <v>8178225.9307914684</v>
      </c>
      <c r="E12" s="5">
        <v>15.459458403304451</v>
      </c>
      <c r="F12" s="5">
        <v>1.7194629066425936E-3</v>
      </c>
    </row>
    <row r="13" spans="1:9">
      <c r="A13" s="5" t="s">
        <v>32</v>
      </c>
      <c r="B13" s="5">
        <v>13</v>
      </c>
      <c r="C13" s="5">
        <v>6877145.0025418671</v>
      </c>
      <c r="D13" s="5">
        <v>529011.15404168214</v>
      </c>
      <c r="E13" s="5"/>
      <c r="F13" s="5"/>
    </row>
    <row r="14" spans="1:9" ht="15" thickBot="1">
      <c r="A14" s="6" t="s">
        <v>33</v>
      </c>
      <c r="B14" s="6">
        <v>14</v>
      </c>
      <c r="C14" s="6">
        <v>15055370.933333335</v>
      </c>
      <c r="D14" s="6"/>
      <c r="E14" s="6"/>
      <c r="F14" s="6"/>
    </row>
    <row r="15" spans="1:9" ht="15" thickBot="1"/>
    <row r="16" spans="1:9">
      <c r="A16" s="7"/>
      <c r="B16" s="7" t="s">
        <v>40</v>
      </c>
      <c r="C16" s="7" t="s">
        <v>7</v>
      </c>
      <c r="D16" s="7" t="s">
        <v>41</v>
      </c>
      <c r="E16" s="7" t="s">
        <v>42</v>
      </c>
      <c r="F16" s="7" t="s">
        <v>43</v>
      </c>
      <c r="G16" s="7" t="s">
        <v>44</v>
      </c>
      <c r="H16" s="7" t="s">
        <v>45</v>
      </c>
      <c r="I16" s="7" t="s">
        <v>46</v>
      </c>
    </row>
    <row r="17" spans="1:9">
      <c r="A17" s="5" t="s">
        <v>34</v>
      </c>
      <c r="B17" s="5">
        <v>19652.74928431899</v>
      </c>
      <c r="C17" s="5">
        <v>370.18590630668479</v>
      </c>
      <c r="D17" s="5">
        <v>53.088864134220827</v>
      </c>
      <c r="E17" s="5">
        <v>1.3806607419505507E-16</v>
      </c>
      <c r="F17" s="5">
        <v>18853.011255269757</v>
      </c>
      <c r="G17" s="5">
        <v>20452.487313368223</v>
      </c>
      <c r="H17" s="5">
        <v>18853.011255269757</v>
      </c>
      <c r="I17" s="5">
        <v>20452.487313368223</v>
      </c>
    </row>
    <row r="18" spans="1:9" ht="15" thickBot="1">
      <c r="A18" s="6" t="s">
        <v>23</v>
      </c>
      <c r="B18" s="6">
        <v>10.808732541629892</v>
      </c>
      <c r="C18" s="6">
        <v>2.7490183130523889</v>
      </c>
      <c r="D18" s="6">
        <v>3.9318517778909778</v>
      </c>
      <c r="E18" s="6">
        <v>1.7194629066425969E-3</v>
      </c>
      <c r="F18" s="6">
        <v>4.8698395420692897</v>
      </c>
      <c r="G18" s="6">
        <v>16.747625541190494</v>
      </c>
      <c r="H18" s="6">
        <v>4.8698395420692897</v>
      </c>
      <c r="I18" s="6">
        <v>16.747625541190494</v>
      </c>
    </row>
    <row r="22" spans="1:9">
      <c r="A22" t="s">
        <v>47</v>
      </c>
    </row>
    <row r="23" spans="1:9" ht="15" thickBot="1"/>
    <row r="24" spans="1:9">
      <c r="A24" s="7" t="s">
        <v>48</v>
      </c>
      <c r="B24" s="7" t="s">
        <v>49</v>
      </c>
      <c r="C24" s="7" t="s">
        <v>50</v>
      </c>
      <c r="D24" s="7" t="s">
        <v>51</v>
      </c>
    </row>
    <row r="25" spans="1:9">
      <c r="A25" s="5">
        <v>1</v>
      </c>
      <c r="B25" s="5">
        <v>22201.448417635318</v>
      </c>
      <c r="C25" s="5">
        <v>-226.44841763531804</v>
      </c>
      <c r="D25" s="5">
        <v>-0.32309424131876902</v>
      </c>
    </row>
    <row r="26" spans="1:9">
      <c r="A26" s="5">
        <v>2</v>
      </c>
      <c r="B26" s="5">
        <v>22760.259890037585</v>
      </c>
      <c r="C26" s="5">
        <v>-554.25989003758514</v>
      </c>
      <c r="D26" s="5">
        <v>-0.79081223236239551</v>
      </c>
    </row>
    <row r="27" spans="1:9">
      <c r="A27" s="5">
        <v>3</v>
      </c>
      <c r="B27" s="5">
        <v>21645.879564995543</v>
      </c>
      <c r="C27" s="5">
        <v>804.12043500445725</v>
      </c>
      <c r="D27" s="5">
        <v>1.1473106528617352</v>
      </c>
    </row>
    <row r="28" spans="1:9">
      <c r="A28" s="5">
        <v>4</v>
      </c>
      <c r="B28" s="5">
        <v>21039.509669410105</v>
      </c>
      <c r="C28" s="5">
        <v>1106.4903305898952</v>
      </c>
      <c r="D28" s="5">
        <v>1.5787288673583493</v>
      </c>
    </row>
    <row r="29" spans="1:9">
      <c r="A29" s="5">
        <v>5</v>
      </c>
      <c r="B29" s="5">
        <v>20769.291355869358</v>
      </c>
      <c r="C29" s="5">
        <v>1045.7086441306419</v>
      </c>
      <c r="D29" s="5">
        <v>1.4920061908313977</v>
      </c>
    </row>
    <row r="30" spans="1:9">
      <c r="A30" s="5">
        <v>6</v>
      </c>
      <c r="B30" s="5">
        <v>21053.561021714224</v>
      </c>
      <c r="C30" s="5">
        <v>467.4389782857761</v>
      </c>
      <c r="D30" s="5">
        <v>0.66693706067437963</v>
      </c>
    </row>
    <row r="31" spans="1:9">
      <c r="A31" s="5">
        <v>7</v>
      </c>
      <c r="B31" s="5">
        <v>20709.843326890394</v>
      </c>
      <c r="C31" s="5">
        <v>276.15667310960634</v>
      </c>
      <c r="D31" s="5">
        <v>0.39401746196855575</v>
      </c>
    </row>
    <row r="32" spans="1:9">
      <c r="A32" s="5">
        <v>8</v>
      </c>
      <c r="B32" s="5">
        <v>20617.96910028654</v>
      </c>
      <c r="C32" s="5">
        <v>-1574.9691002865402</v>
      </c>
      <c r="D32" s="5">
        <v>-2.247149491576836</v>
      </c>
    </row>
    <row r="33" spans="1:4">
      <c r="A33" s="5">
        <v>9</v>
      </c>
      <c r="B33" s="5">
        <v>20703.358087365417</v>
      </c>
      <c r="C33" s="5">
        <v>-243.3580873654173</v>
      </c>
      <c r="D33" s="5">
        <v>-0.34722078178855442</v>
      </c>
    </row>
    <row r="34" spans="1:4">
      <c r="A34" s="5">
        <v>10</v>
      </c>
      <c r="B34" s="5">
        <v>19781.373201564387</v>
      </c>
      <c r="C34" s="5">
        <v>409.62679843561273</v>
      </c>
      <c r="D34" s="5">
        <v>0.58445124521704295</v>
      </c>
    </row>
    <row r="35" spans="1:4">
      <c r="A35" s="5">
        <v>11</v>
      </c>
      <c r="B35" s="5">
        <v>20428.816280808016</v>
      </c>
      <c r="C35" s="5">
        <v>-177.81628080801602</v>
      </c>
      <c r="D35" s="5">
        <v>-0.25370641553483175</v>
      </c>
    </row>
    <row r="36" spans="1:4">
      <c r="A36" s="5">
        <v>12</v>
      </c>
      <c r="B36" s="5">
        <v>20569.329803849207</v>
      </c>
      <c r="C36" s="5">
        <v>-312.32980384920666</v>
      </c>
      <c r="D36" s="5">
        <v>-0.44562890776482345</v>
      </c>
    </row>
    <row r="37" spans="1:4">
      <c r="A37" s="5">
        <v>13</v>
      </c>
      <c r="B37" s="5">
        <v>20340.184673966651</v>
      </c>
      <c r="C37" s="5">
        <v>-519.18467396665073</v>
      </c>
      <c r="D37" s="5">
        <v>-0.74076727976846335</v>
      </c>
    </row>
    <row r="38" spans="1:4">
      <c r="A38" s="5">
        <v>14</v>
      </c>
      <c r="B38" s="5">
        <v>20379.09611111652</v>
      </c>
      <c r="C38" s="5">
        <v>-133.09611111651975</v>
      </c>
      <c r="D38" s="5">
        <v>-0.18990014367388375</v>
      </c>
    </row>
    <row r="39" spans="1:4" ht="15" thickBot="1">
      <c r="A39" s="6">
        <v>15</v>
      </c>
      <c r="B39" s="6">
        <v>20606.079494490747</v>
      </c>
      <c r="C39" s="6">
        <v>-368.07949449074658</v>
      </c>
      <c r="D39" s="6">
        <v>-0.52517198512291896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B1495-C212-480D-9F4F-7A8D088DFD73}">
  <dimension ref="A1:E7"/>
  <sheetViews>
    <sheetView zoomScale="117" workbookViewId="0">
      <selection activeCell="B7" sqref="B7"/>
    </sheetView>
  </sheetViews>
  <sheetFormatPr defaultRowHeight="14.25"/>
  <cols>
    <col min="1" max="1" width="21.375" customWidth="1"/>
    <col min="2" max="2" width="12.625" bestFit="1" customWidth="1"/>
    <col min="3" max="3" width="14.75" customWidth="1"/>
    <col min="4" max="4" width="25" customWidth="1"/>
    <col min="5" max="5" width="16.5" customWidth="1"/>
  </cols>
  <sheetData>
    <row r="1" spans="1:5">
      <c r="A1" s="7"/>
      <c r="B1" s="7" t="s">
        <v>54</v>
      </c>
      <c r="C1" s="7" t="s">
        <v>55</v>
      </c>
      <c r="D1" s="7" t="s">
        <v>22</v>
      </c>
      <c r="E1" s="7" t="s">
        <v>53</v>
      </c>
    </row>
    <row r="2" spans="1:5">
      <c r="A2" s="5" t="s">
        <v>54</v>
      </c>
      <c r="B2" s="5">
        <v>1</v>
      </c>
      <c r="C2" s="5"/>
      <c r="D2" s="5"/>
      <c r="E2" s="5"/>
    </row>
    <row r="3" spans="1:5">
      <c r="A3" s="5" t="s">
        <v>55</v>
      </c>
      <c r="B3" s="5">
        <v>-0.31840818770646767</v>
      </c>
      <c r="C3" s="5">
        <v>1</v>
      </c>
      <c r="D3" s="5"/>
      <c r="E3" s="5"/>
    </row>
    <row r="4" spans="1:5">
      <c r="A4" s="5" t="s">
        <v>22</v>
      </c>
      <c r="B4" s="5">
        <v>0.38664704745840883</v>
      </c>
      <c r="C4" s="5">
        <v>-0.59181988921489226</v>
      </c>
      <c r="D4" s="5">
        <v>1</v>
      </c>
      <c r="E4" s="5"/>
    </row>
    <row r="5" spans="1:5" ht="15" thickBot="1">
      <c r="A5" s="6" t="s">
        <v>53</v>
      </c>
      <c r="B5" s="6">
        <v>0.37783681786845535</v>
      </c>
      <c r="C5" s="6">
        <v>-0.35792827395875665</v>
      </c>
      <c r="D5" s="6">
        <v>0.73923230473826329</v>
      </c>
      <c r="E5" s="6">
        <v>1</v>
      </c>
    </row>
    <row r="7" spans="1:5">
      <c r="A7" t="s">
        <v>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9B4D0-25ED-4926-A890-C31B3D266DC1}">
  <dimension ref="A1:AC28"/>
  <sheetViews>
    <sheetView topLeftCell="F1" zoomScale="97" zoomScaleNormal="57" workbookViewId="0">
      <selection activeCell="Q9" sqref="Q9"/>
    </sheetView>
  </sheetViews>
  <sheetFormatPr defaultRowHeight="14.25"/>
  <cols>
    <col min="2" max="2" width="16.375" customWidth="1"/>
    <col min="3" max="3" width="35.5" customWidth="1"/>
    <col min="4" max="4" width="11.875" customWidth="1"/>
    <col min="7" max="7" width="15.875" customWidth="1"/>
    <col min="8" max="8" width="14" customWidth="1"/>
    <col min="9" max="9" width="37.25" customWidth="1"/>
    <col min="14" max="14" width="14.375" customWidth="1"/>
  </cols>
  <sheetData>
    <row r="1" spans="1:29" ht="43.5">
      <c r="A1" s="1" t="s">
        <v>0</v>
      </c>
      <c r="B1" s="1" t="s">
        <v>3</v>
      </c>
      <c r="C1" s="2" t="s">
        <v>5</v>
      </c>
      <c r="D1" s="2"/>
      <c r="F1" t="s">
        <v>64</v>
      </c>
      <c r="G1" s="23" t="s">
        <v>65</v>
      </c>
      <c r="H1" s="23" t="s">
        <v>66</v>
      </c>
      <c r="N1" t="s">
        <v>67</v>
      </c>
      <c r="Q1" t="s">
        <v>63</v>
      </c>
      <c r="W1" t="s">
        <v>68</v>
      </c>
      <c r="X1" t="s">
        <v>12</v>
      </c>
      <c r="AA1" s="23" t="s">
        <v>69</v>
      </c>
      <c r="AC1">
        <f>SUM(AA3:AA17)/SUM(H2:H16)</f>
        <v>1.1644800180092598</v>
      </c>
    </row>
    <row r="2" spans="1:29" ht="18">
      <c r="A2" s="1">
        <v>2010</v>
      </c>
      <c r="B2" s="19">
        <v>20238</v>
      </c>
      <c r="C2" s="18">
        <v>88.2</v>
      </c>
      <c r="D2" s="25"/>
      <c r="F2">
        <f>'Регрессия скважины'!$B$17+'Регрессия скважины'!$B$18*'Оценка качества модели'!C2</f>
        <v>20606.079494490747</v>
      </c>
      <c r="G2" s="11">
        <f>B2-F2</f>
        <v>-368.07949449074658</v>
      </c>
      <c r="H2">
        <f>POWER(G2,2)</f>
        <v>135482.51426456354</v>
      </c>
      <c r="I2">
        <v>0</v>
      </c>
      <c r="N2">
        <f>ABS(G2/B2)</f>
        <v>1.8187542963274364E-2</v>
      </c>
      <c r="Q2">
        <f>ABS(AVERAGE(G2:G16)/_xlfn.STDEV.S(G2:G16))*SQRT(15)</f>
        <v>0.41807862564224535</v>
      </c>
      <c r="T2" s="26" t="s">
        <v>70</v>
      </c>
      <c r="U2">
        <f>SUM(I2:I16)</f>
        <v>8</v>
      </c>
      <c r="W2">
        <f>SKEW(G2:G16)</f>
        <v>1.3642269275217479E-2</v>
      </c>
      <c r="X2">
        <f>KURT(G2:G16)</f>
        <v>0.23854907466261732</v>
      </c>
    </row>
    <row r="3" spans="1:29" ht="18">
      <c r="A3" s="1">
        <v>2011</v>
      </c>
      <c r="B3" s="19">
        <v>20246</v>
      </c>
      <c r="C3" s="18">
        <v>67.2</v>
      </c>
      <c r="D3" s="25"/>
      <c r="F3">
        <f>'Регрессия скважины'!$B$17+'Регрессия скважины'!$B$18*'Оценка качества модели'!C3</f>
        <v>20379.09611111652</v>
      </c>
      <c r="G3">
        <f t="shared" ref="G3:G17" si="0">B3-F3</f>
        <v>-133.09611111651975</v>
      </c>
      <c r="H3">
        <f t="shared" ref="H3:H17" si="1">POWER(G3,2)</f>
        <v>17714.574794340973</v>
      </c>
      <c r="I3">
        <f>IF(OR(AND(G3&gt;G2, G3&gt;G4), AND(G3&lt;G2, G3&lt;G4)), 1, 0)</f>
        <v>1</v>
      </c>
      <c r="N3">
        <f t="shared" ref="N3:N17" si="2">ABS(G3/B3)</f>
        <v>6.5739460197826605E-3</v>
      </c>
      <c r="Q3" t="s">
        <v>71</v>
      </c>
      <c r="T3" s="27" t="s">
        <v>72</v>
      </c>
      <c r="U3" s="28" t="s">
        <v>73</v>
      </c>
      <c r="W3" t="s">
        <v>74</v>
      </c>
      <c r="X3" t="s">
        <v>75</v>
      </c>
      <c r="AA3">
        <f t="shared" ref="AA3:AA16" si="3">(G3-G2)^2</f>
        <v>55217.190461998864</v>
      </c>
    </row>
    <row r="4" spans="1:29" ht="18">
      <c r="A4" s="1">
        <v>2012</v>
      </c>
      <c r="B4" s="19">
        <v>19821</v>
      </c>
      <c r="C4" s="18">
        <v>63.6</v>
      </c>
      <c r="D4" s="25"/>
      <c r="F4">
        <f>'Регрессия скважины'!$B$17+'Регрессия скважины'!$B$18*'Оценка качества модели'!C4</f>
        <v>20340.184673966651</v>
      </c>
      <c r="G4">
        <f t="shared" si="0"/>
        <v>-519.18467396665073</v>
      </c>
      <c r="H4">
        <f t="shared" si="1"/>
        <v>269552.72568185744</v>
      </c>
      <c r="I4">
        <f t="shared" ref="I4:I16" si="4">IF(OR(AND(G4&gt;G3, G4&gt;G5), AND(G4&lt;G3, G4&lt;G5)), 1, 0)</f>
        <v>1</v>
      </c>
      <c r="N4">
        <f t="shared" si="2"/>
        <v>2.6193667018144934E-2</v>
      </c>
      <c r="Q4">
        <f>TINV(0.05,15-3)</f>
        <v>2.1788128296672284</v>
      </c>
      <c r="T4">
        <f>2*(15-2)/3</f>
        <v>8.6666666666666661</v>
      </c>
      <c r="U4">
        <f>(16*15-29)/90</f>
        <v>2.3444444444444446</v>
      </c>
      <c r="W4">
        <f>SQRT((6*(15-1))/((15+1)*(15+3)))</f>
        <v>0.54006172486732174</v>
      </c>
      <c r="X4">
        <f>SQRT((24*15*(15-2)*(15-3))/((15+3)*(15+5)*(15-1)^2))</f>
        <v>0.89214257119977114</v>
      </c>
      <c r="AA4">
        <f t="shared" si="3"/>
        <v>149064.37836367954</v>
      </c>
    </row>
    <row r="5" spans="1:29" ht="18.75">
      <c r="A5" s="1">
        <v>2013</v>
      </c>
      <c r="B5" s="19">
        <v>20257</v>
      </c>
      <c r="C5" s="18">
        <v>84.8</v>
      </c>
      <c r="D5" s="25"/>
      <c r="F5">
        <f>'Регрессия скважины'!$B$17+'Регрессия скважины'!$B$18*'Оценка качества модели'!C5</f>
        <v>20569.329803849207</v>
      </c>
      <c r="G5">
        <f t="shared" si="0"/>
        <v>-312.32980384920666</v>
      </c>
      <c r="H5">
        <f t="shared" si="1"/>
        <v>97549.906372483907</v>
      </c>
      <c r="I5">
        <f t="shared" si="4"/>
        <v>0</v>
      </c>
      <c r="N5">
        <f t="shared" si="2"/>
        <v>1.5418364212331868E-2</v>
      </c>
      <c r="T5" s="29" t="s">
        <v>76</v>
      </c>
      <c r="U5">
        <f>T4-Q4</f>
        <v>6.4878538369994381</v>
      </c>
      <c r="AA5">
        <f t="shared" si="3"/>
        <v>42788.937291304661</v>
      </c>
    </row>
    <row r="6" spans="1:29" ht="18">
      <c r="A6" s="1">
        <v>2014</v>
      </c>
      <c r="B6" s="19">
        <v>20251</v>
      </c>
      <c r="C6" s="18">
        <v>71.8</v>
      </c>
      <c r="D6" s="24"/>
      <c r="F6">
        <f>'Регрессия скважины'!$B$17+'Регрессия скважины'!$B$18*'Оценка качества модели'!C6</f>
        <v>20428.816280808016</v>
      </c>
      <c r="G6">
        <f t="shared" si="0"/>
        <v>-177.81628080801602</v>
      </c>
      <c r="H6">
        <f t="shared" si="1"/>
        <v>31618.629720395205</v>
      </c>
      <c r="I6">
        <f t="shared" si="4"/>
        <v>1</v>
      </c>
      <c r="N6">
        <f t="shared" si="2"/>
        <v>8.7806172933690193E-3</v>
      </c>
      <c r="U6">
        <f>T4-Q4*SQRT(U4)</f>
        <v>5.3305602399096514</v>
      </c>
      <c r="AA6">
        <f t="shared" si="3"/>
        <v>18093.887880952923</v>
      </c>
    </row>
    <row r="7" spans="1:29" ht="18">
      <c r="A7" s="1">
        <v>2015</v>
      </c>
      <c r="B7" s="19">
        <v>20191</v>
      </c>
      <c r="C7" s="18">
        <v>119.2</v>
      </c>
      <c r="D7" s="24"/>
      <c r="F7">
        <f>'Регрессия скважины'!$B$17+'Регрессия скважины'!$B$18*'Оценка качества модели'!C7</f>
        <v>20941.150203281275</v>
      </c>
      <c r="G7">
        <f t="shared" si="0"/>
        <v>-750.15020328127503</v>
      </c>
      <c r="H7">
        <f t="shared" si="1"/>
        <v>562725.3274829383</v>
      </c>
      <c r="I7">
        <f t="shared" si="4"/>
        <v>1</v>
      </c>
      <c r="N7">
        <f t="shared" si="2"/>
        <v>3.7152701861288447E-2</v>
      </c>
      <c r="AA7">
        <f t="shared" si="3"/>
        <v>327566.11881362647</v>
      </c>
    </row>
    <row r="8" spans="1:29" ht="18">
      <c r="A8" s="1">
        <v>2016</v>
      </c>
      <c r="B8" s="19">
        <v>20460</v>
      </c>
      <c r="C8" s="18">
        <v>97.2</v>
      </c>
      <c r="D8" s="30"/>
      <c r="F8">
        <f>'Регрессия скважины'!$B$17+'Регрессия скважины'!$B$18*'Оценка качества модели'!C8</f>
        <v>20703.358087365417</v>
      </c>
      <c r="G8">
        <f t="shared" si="0"/>
        <v>-243.3580873654173</v>
      </c>
      <c r="H8">
        <f t="shared" si="1"/>
        <v>59223.158686154078</v>
      </c>
      <c r="I8">
        <f t="shared" si="4"/>
        <v>1</v>
      </c>
      <c r="N8">
        <f t="shared" si="2"/>
        <v>1.189433467084151E-2</v>
      </c>
      <c r="AA8">
        <f t="shared" si="3"/>
        <v>256838.24875447218</v>
      </c>
    </row>
    <row r="9" spans="1:29" ht="18">
      <c r="A9" s="1">
        <v>2017</v>
      </c>
      <c r="B9" s="19">
        <v>19043</v>
      </c>
      <c r="C9" s="18">
        <v>89.3</v>
      </c>
      <c r="D9" s="25"/>
      <c r="F9">
        <f>'Регрессия скважины'!$B$17+'Регрессия скважины'!$B$18*'Оценка качества модели'!C9</f>
        <v>20617.96910028654</v>
      </c>
      <c r="G9">
        <f t="shared" si="0"/>
        <v>-1574.9691002865402</v>
      </c>
      <c r="H9">
        <f t="shared" si="1"/>
        <v>2480527.6668573939</v>
      </c>
      <c r="I9">
        <f t="shared" si="4"/>
        <v>1</v>
      </c>
      <c r="N9">
        <f t="shared" si="2"/>
        <v>8.2705933954027214E-2</v>
      </c>
      <c r="AA9">
        <f t="shared" si="3"/>
        <v>1773187.8897328188</v>
      </c>
    </row>
    <row r="10" spans="1:29" ht="18">
      <c r="A10" s="1">
        <v>2018</v>
      </c>
      <c r="B10" s="19">
        <v>20986</v>
      </c>
      <c r="C10" s="18">
        <v>97.8</v>
      </c>
      <c r="D10" s="25"/>
      <c r="F10">
        <f>'Регрессия скважины'!$B$17+'Регрессия скважины'!$B$18*'Оценка качества модели'!C10</f>
        <v>20709.843326890394</v>
      </c>
      <c r="G10">
        <f t="shared" si="0"/>
        <v>276.15667310960634</v>
      </c>
      <c r="H10">
        <f t="shared" si="1"/>
        <v>76262.508102965978</v>
      </c>
      <c r="I10">
        <f t="shared" si="4"/>
        <v>0</v>
      </c>
      <c r="N10">
        <f t="shared" si="2"/>
        <v>1.3159090494120191E-2</v>
      </c>
      <c r="AA10">
        <f t="shared" si="3"/>
        <v>3426666.6289314819</v>
      </c>
    </row>
    <row r="11" spans="1:29" ht="18">
      <c r="A11" s="1">
        <v>2019</v>
      </c>
      <c r="B11" s="19">
        <v>21521</v>
      </c>
      <c r="C11" s="18">
        <v>129.6</v>
      </c>
      <c r="D11" s="25"/>
      <c r="F11">
        <f>'Регрессия скважины'!$B$17+'Регрессия скважины'!$B$18*'Оценка качества модели'!C11</f>
        <v>21053.561021714224</v>
      </c>
      <c r="G11">
        <f t="shared" si="0"/>
        <v>467.4389782857761</v>
      </c>
      <c r="H11">
        <f t="shared" si="1"/>
        <v>218499.19842085027</v>
      </c>
      <c r="I11">
        <f t="shared" si="4"/>
        <v>0</v>
      </c>
      <c r="N11">
        <f t="shared" si="2"/>
        <v>2.1720132813799364E-2</v>
      </c>
      <c r="AA11">
        <f t="shared" si="3"/>
        <v>36588.920273509342</v>
      </c>
    </row>
    <row r="12" spans="1:29" ht="18">
      <c r="A12" s="1">
        <v>2020</v>
      </c>
      <c r="B12" s="19">
        <v>21815</v>
      </c>
      <c r="C12" s="18">
        <v>103.3</v>
      </c>
      <c r="D12" s="25"/>
      <c r="F12">
        <f>'Регрессия скважины'!$B$17+'Регрессия скважины'!$B$18*'Оценка качества модели'!C12</f>
        <v>20769.291355869358</v>
      </c>
      <c r="G12">
        <f t="shared" si="0"/>
        <v>1045.7086441306419</v>
      </c>
      <c r="H12">
        <f t="shared" si="1"/>
        <v>1093506.5684095456</v>
      </c>
      <c r="I12">
        <f t="shared" si="4"/>
        <v>0</v>
      </c>
      <c r="N12">
        <f t="shared" si="2"/>
        <v>4.7935303421069997E-2</v>
      </c>
      <c r="AA12">
        <f t="shared" si="3"/>
        <v>334395.80643633276</v>
      </c>
    </row>
    <row r="13" spans="1:29" ht="18">
      <c r="A13" s="1">
        <v>2021</v>
      </c>
      <c r="B13" s="19">
        <v>22146</v>
      </c>
      <c r="C13" s="18">
        <v>128.30000000000001</v>
      </c>
      <c r="D13" s="25"/>
      <c r="F13">
        <f>'Регрессия скважины'!$B$17+'Регрессия скважины'!$B$18*'Оценка качества модели'!C13</f>
        <v>21039.509669410105</v>
      </c>
      <c r="G13">
        <f t="shared" si="0"/>
        <v>1106.4903305898952</v>
      </c>
      <c r="H13">
        <f t="shared" si="1"/>
        <v>1224320.8516889354</v>
      </c>
      <c r="I13">
        <f t="shared" si="4"/>
        <v>1</v>
      </c>
      <c r="N13">
        <f t="shared" si="2"/>
        <v>4.9963439473940899E-2</v>
      </c>
      <c r="AA13">
        <f t="shared" si="3"/>
        <v>3694.4134088309702</v>
      </c>
    </row>
    <row r="14" spans="1:29" ht="18">
      <c r="A14" s="1">
        <v>2022</v>
      </c>
      <c r="B14" s="19">
        <v>22450</v>
      </c>
      <c r="C14" s="18">
        <v>184.4</v>
      </c>
      <c r="D14" s="25"/>
      <c r="F14">
        <f>'Регрессия скважины'!$B$17+'Регрессия скважины'!$B$18*'Оценка качества модели'!C14</f>
        <v>21645.879564995543</v>
      </c>
      <c r="G14">
        <f t="shared" si="0"/>
        <v>804.12043500445725</v>
      </c>
      <c r="H14">
        <f t="shared" si="1"/>
        <v>646609.67399175756</v>
      </c>
      <c r="I14">
        <f t="shared" si="4"/>
        <v>0</v>
      </c>
      <c r="N14">
        <f t="shared" si="2"/>
        <v>3.5818282182826601E-2</v>
      </c>
      <c r="AA14">
        <f t="shared" si="3"/>
        <v>91427.553756348629</v>
      </c>
    </row>
    <row r="15" spans="1:29" ht="18">
      <c r="A15" s="1">
        <v>2023</v>
      </c>
      <c r="B15" s="19">
        <v>22206</v>
      </c>
      <c r="C15" s="18">
        <v>287.5</v>
      </c>
      <c r="D15" s="25"/>
      <c r="F15">
        <f>'Регрессия скважины'!$B$17+'Регрессия скважины'!$B$18*'Оценка качества модели'!C15</f>
        <v>22760.259890037585</v>
      </c>
      <c r="G15">
        <f t="shared" si="0"/>
        <v>-554.25989003758514</v>
      </c>
      <c r="H15">
        <f t="shared" si="1"/>
        <v>307204.02570447599</v>
      </c>
      <c r="I15">
        <f t="shared" si="4"/>
        <v>1</v>
      </c>
      <c r="N15">
        <f t="shared" si="2"/>
        <v>2.4959915790218192E-2</v>
      </c>
      <c r="AA15">
        <f t="shared" si="3"/>
        <v>1845197.1074613247</v>
      </c>
    </row>
    <row r="16" spans="1:29" ht="18">
      <c r="A16" s="1">
        <v>2024</v>
      </c>
      <c r="B16" s="19">
        <v>21975</v>
      </c>
      <c r="C16" s="18">
        <v>235.8</v>
      </c>
      <c r="D16" s="25"/>
      <c r="F16">
        <f>'Регрессия скважины'!$B$17+'Регрессия скважины'!$B$18*'Оценка качества модели'!C16</f>
        <v>22201.448417635318</v>
      </c>
      <c r="G16">
        <f t="shared" si="0"/>
        <v>-226.44841763531804</v>
      </c>
      <c r="H16">
        <f t="shared" si="1"/>
        <v>51278.885849539416</v>
      </c>
      <c r="I16">
        <f t="shared" si="4"/>
        <v>0</v>
      </c>
      <c r="N16">
        <f t="shared" si="2"/>
        <v>1.0304819915145303E-2</v>
      </c>
      <c r="O16" t="s">
        <v>77</v>
      </c>
      <c r="AA16">
        <f t="shared" si="3"/>
        <v>107460.36143854233</v>
      </c>
    </row>
    <row r="17" spans="1:16" ht="18">
      <c r="A17" s="1">
        <v>2025</v>
      </c>
      <c r="B17" s="19">
        <v>22045</v>
      </c>
      <c r="C17" s="18">
        <v>176.8</v>
      </c>
      <c r="F17">
        <f>'Регрессия скважины'!$B$17+'Регрессия скважины'!$B$18*'Оценка качества модели'!C17</f>
        <v>21563.733197679154</v>
      </c>
      <c r="G17">
        <f t="shared" si="0"/>
        <v>481.26680232084618</v>
      </c>
      <c r="H17">
        <f t="shared" si="1"/>
        <v>231617.73501613244</v>
      </c>
      <c r="I17">
        <v>0</v>
      </c>
      <c r="N17">
        <f t="shared" si="2"/>
        <v>2.1831109200310554E-2</v>
      </c>
      <c r="O17">
        <f>AVERAGE(N2:N17)</f>
        <v>2.7037450080280696E-2</v>
      </c>
    </row>
    <row r="18" spans="1:16">
      <c r="I18" t="s">
        <v>78</v>
      </c>
      <c r="J18">
        <f>SUM(H2:H17)/(15-2)</f>
        <v>577207.22700340999</v>
      </c>
    </row>
    <row r="19" spans="1:16">
      <c r="I19" t="s">
        <v>79</v>
      </c>
      <c r="J19">
        <f>_xlfn.VAR.S(B2:B17)</f>
        <v>1084622.1625000001</v>
      </c>
    </row>
    <row r="20" spans="1:16">
      <c r="I20" t="s">
        <v>80</v>
      </c>
      <c r="J20">
        <f>J18/J19</f>
        <v>0.5321735503476861</v>
      </c>
    </row>
    <row r="21" spans="1:16">
      <c r="I21" t="s">
        <v>81</v>
      </c>
      <c r="J21">
        <f>1-J20</f>
        <v>0.4678264496523139</v>
      </c>
    </row>
    <row r="22" spans="1:16">
      <c r="I22" t="s">
        <v>82</v>
      </c>
      <c r="J22">
        <f>SQRT(J21)</f>
        <v>0.68397839852755138</v>
      </c>
    </row>
    <row r="25" spans="1:16">
      <c r="P25" t="s">
        <v>63</v>
      </c>
    </row>
    <row r="26" spans="1:16">
      <c r="P26">
        <v>3.0128593395163066E-14</v>
      </c>
    </row>
    <row r="27" spans="1:16">
      <c r="P27" t="s">
        <v>71</v>
      </c>
    </row>
    <row r="28" spans="1:16">
      <c r="P28">
        <v>2.1788128296672284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2E6BB-C5CE-4033-90C9-0D3E9B4776F4}">
  <dimension ref="A1:I40"/>
  <sheetViews>
    <sheetView workbookViewId="0">
      <selection activeCell="K4" sqref="K4"/>
    </sheetView>
  </sheetViews>
  <sheetFormatPr defaultRowHeight="14.25"/>
  <cols>
    <col min="1" max="1" width="23.875" bestFit="1" customWidth="1"/>
    <col min="2" max="2" width="18.625" bestFit="1" customWidth="1"/>
    <col min="4" max="4" width="14.5" bestFit="1" customWidth="1"/>
    <col min="5" max="5" width="19.375" customWidth="1"/>
    <col min="6" max="6" width="13.75" bestFit="1" customWidth="1"/>
    <col min="7" max="7" width="12.5" bestFit="1" customWidth="1"/>
  </cols>
  <sheetData>
    <row r="1" spans="1:9">
      <c r="A1" t="s">
        <v>24</v>
      </c>
    </row>
    <row r="2" spans="1:9" ht="15" thickBot="1"/>
    <row r="3" spans="1:9">
      <c r="A3" s="8" t="s">
        <v>25</v>
      </c>
      <c r="B3" s="8"/>
    </row>
    <row r="4" spans="1:9">
      <c r="A4" s="5" t="s">
        <v>26</v>
      </c>
      <c r="B4" s="5">
        <v>0.37562906076657748</v>
      </c>
      <c r="E4" t="s">
        <v>60</v>
      </c>
      <c r="F4">
        <f>_xlfn.F.INV.RT(0.05,B12,B13)</f>
        <v>3.8852938346523942</v>
      </c>
    </row>
    <row r="5" spans="1:9">
      <c r="A5" s="5" t="s">
        <v>27</v>
      </c>
      <c r="B5" s="5">
        <v>0.14109719129238116</v>
      </c>
      <c r="E5" t="s">
        <v>63</v>
      </c>
      <c r="F5">
        <f>_xlfn.T.INV.2T(0.05,B13)</f>
        <v>2.1788128296672284</v>
      </c>
    </row>
    <row r="6" spans="1:9">
      <c r="A6" s="5" t="s">
        <v>28</v>
      </c>
      <c r="B6" s="5">
        <v>-2.0532768255553204E-3</v>
      </c>
    </row>
    <row r="7" spans="1:9">
      <c r="A7" s="5" t="s">
        <v>7</v>
      </c>
      <c r="B7" s="5">
        <v>2.1966601874935967</v>
      </c>
    </row>
    <row r="8" spans="1:9" ht="15" thickBot="1">
      <c r="A8" s="6" t="s">
        <v>29</v>
      </c>
      <c r="B8" s="6">
        <v>15</v>
      </c>
    </row>
    <row r="10" spans="1:9" ht="15" thickBot="1">
      <c r="A10" t="s">
        <v>30</v>
      </c>
    </row>
    <row r="11" spans="1:9">
      <c r="A11" s="7"/>
      <c r="B11" s="7" t="s">
        <v>35</v>
      </c>
      <c r="C11" s="7" t="s">
        <v>36</v>
      </c>
      <c r="D11" s="7" t="s">
        <v>37</v>
      </c>
      <c r="E11" s="7" t="s">
        <v>38</v>
      </c>
      <c r="F11" s="7" t="s">
        <v>39</v>
      </c>
    </row>
    <row r="12" spans="1:9">
      <c r="A12" s="5" t="s">
        <v>31</v>
      </c>
      <c r="B12" s="5">
        <v>2</v>
      </c>
      <c r="C12" s="5">
        <v>9.5122082481671697</v>
      </c>
      <c r="D12" s="5">
        <v>4.7561041240835848</v>
      </c>
      <c r="E12" s="5">
        <v>0.98565651336980831</v>
      </c>
      <c r="F12" s="5">
        <v>0.40148020534725309</v>
      </c>
    </row>
    <row r="13" spans="1:9">
      <c r="A13" s="5" t="s">
        <v>32</v>
      </c>
      <c r="B13" s="5">
        <v>12</v>
      </c>
      <c r="C13" s="5">
        <v>57.903791751832841</v>
      </c>
      <c r="D13" s="5">
        <v>4.8253159793194031</v>
      </c>
      <c r="E13" s="5"/>
      <c r="F13" s="5"/>
    </row>
    <row r="14" spans="1:9" ht="15" thickBot="1">
      <c r="A14" s="6" t="s">
        <v>33</v>
      </c>
      <c r="B14" s="6">
        <v>14</v>
      </c>
      <c r="C14" s="6">
        <v>67.416000000000011</v>
      </c>
      <c r="D14" s="6"/>
      <c r="E14" s="6"/>
      <c r="F14" s="6"/>
    </row>
    <row r="15" spans="1:9" ht="15" thickBot="1"/>
    <row r="16" spans="1:9">
      <c r="A16" s="7"/>
      <c r="B16" s="7" t="s">
        <v>40</v>
      </c>
      <c r="C16" s="7" t="s">
        <v>7</v>
      </c>
      <c r="D16" s="7" t="s">
        <v>41</v>
      </c>
      <c r="E16" s="7" t="s">
        <v>42</v>
      </c>
      <c r="F16" s="7" t="s">
        <v>43</v>
      </c>
      <c r="G16" s="7" t="s">
        <v>44</v>
      </c>
      <c r="H16" s="7" t="s">
        <v>45</v>
      </c>
      <c r="I16" s="7" t="s">
        <v>46</v>
      </c>
    </row>
    <row r="17" spans="1:9">
      <c r="A17" s="5" t="s">
        <v>34</v>
      </c>
      <c r="B17" s="5">
        <v>26.687278302807542</v>
      </c>
      <c r="C17" s="5">
        <v>32.896245142387563</v>
      </c>
      <c r="D17" s="5">
        <v>0.81125606242581083</v>
      </c>
      <c r="E17" s="5">
        <v>0.43301535655462031</v>
      </c>
      <c r="F17" s="5">
        <v>-44.987482661304725</v>
      </c>
      <c r="G17" s="5">
        <v>98.362039266919808</v>
      </c>
      <c r="H17" s="5">
        <v>-44.987482661304725</v>
      </c>
      <c r="I17" s="5">
        <v>98.362039266919808</v>
      </c>
    </row>
    <row r="18" spans="1:9">
      <c r="A18" s="5" t="s">
        <v>21</v>
      </c>
      <c r="B18" s="5">
        <v>-1.9236080670854246E-2</v>
      </c>
      <c r="C18" s="5">
        <v>4.2155287439274304E-2</v>
      </c>
      <c r="D18" s="5">
        <v>-0.45631477898387668</v>
      </c>
      <c r="E18" s="5">
        <v>0.65631227221947719</v>
      </c>
      <c r="F18" s="5">
        <v>-0.11108456178185487</v>
      </c>
      <c r="G18" s="5">
        <v>7.2612400440146371E-2</v>
      </c>
      <c r="H18" s="5">
        <v>-0.11108456178185487</v>
      </c>
      <c r="I18" s="5">
        <v>7.2612400440146371E-2</v>
      </c>
    </row>
    <row r="19" spans="1:9" ht="15" thickBot="1">
      <c r="A19" s="6" t="s">
        <v>22</v>
      </c>
      <c r="B19" s="6">
        <v>5.5233513354744984E-4</v>
      </c>
      <c r="C19" s="6">
        <v>6.8591889768568641E-4</v>
      </c>
      <c r="D19" s="6">
        <v>0.80524845635693565</v>
      </c>
      <c r="E19" s="6">
        <v>0.43634167343492536</v>
      </c>
      <c r="F19" s="6">
        <v>-9.4215376084132673E-4</v>
      </c>
      <c r="G19" s="6">
        <v>2.0468240279362263E-3</v>
      </c>
      <c r="H19" s="6">
        <v>-9.4215376084132673E-4</v>
      </c>
      <c r="I19" s="6">
        <v>2.0468240279362263E-3</v>
      </c>
    </row>
    <row r="23" spans="1:9">
      <c r="A23" t="s">
        <v>47</v>
      </c>
    </row>
    <row r="24" spans="1:9" ht="15" thickBot="1"/>
    <row r="25" spans="1:9">
      <c r="A25" s="7" t="s">
        <v>48</v>
      </c>
      <c r="B25" s="7" t="s">
        <v>56</v>
      </c>
      <c r="C25" s="7" t="s">
        <v>50</v>
      </c>
    </row>
    <row r="26" spans="1:9">
      <c r="A26" s="5">
        <v>1</v>
      </c>
      <c r="B26" s="5">
        <v>27.790149145081585</v>
      </c>
      <c r="C26" s="5">
        <v>-1.8901491450815868</v>
      </c>
    </row>
    <row r="27" spans="1:9">
      <c r="A27" s="5">
        <v>2</v>
      </c>
      <c r="B27" s="5">
        <v>27.772774424904572</v>
      </c>
      <c r="C27" s="5">
        <v>-1.4727744249045713</v>
      </c>
    </row>
    <row r="28" spans="1:9">
      <c r="A28" s="5">
        <v>3</v>
      </c>
      <c r="B28" s="5">
        <v>27.099878711265681</v>
      </c>
      <c r="C28" s="5">
        <v>-0.6998787112656828</v>
      </c>
    </row>
    <row r="29" spans="1:9">
      <c r="A29" s="5">
        <v>4</v>
      </c>
      <c r="B29" s="5">
        <v>27.18120345541616</v>
      </c>
      <c r="C29" s="5">
        <v>-0.6812034554161599</v>
      </c>
    </row>
    <row r="30" spans="1:9">
      <c r="A30" s="5">
        <v>5</v>
      </c>
      <c r="B30" s="5">
        <v>27.321188073441</v>
      </c>
      <c r="C30" s="5">
        <v>-0.12118807344100091</v>
      </c>
    </row>
    <row r="31" spans="1:9">
      <c r="A31" s="5">
        <v>6</v>
      </c>
      <c r="B31" s="5">
        <v>27.456300967895665</v>
      </c>
      <c r="C31" s="5">
        <v>1.1436990321043368</v>
      </c>
    </row>
    <row r="32" spans="1:9">
      <c r="A32" s="5">
        <v>7</v>
      </c>
      <c r="B32" s="5">
        <v>26.931405564648376</v>
      </c>
      <c r="C32" s="5">
        <v>1.9685944353516227</v>
      </c>
    </row>
    <row r="33" spans="1:3">
      <c r="A33" s="5">
        <v>8</v>
      </c>
      <c r="B33" s="5">
        <v>28.145016118028309</v>
      </c>
      <c r="C33" s="5">
        <v>1.3549838819716911</v>
      </c>
    </row>
    <row r="34" spans="1:3">
      <c r="A34" s="5">
        <v>9</v>
      </c>
      <c r="B34" s="5">
        <v>28.507841696824183</v>
      </c>
      <c r="C34" s="5">
        <v>1.2921583031758175</v>
      </c>
    </row>
    <row r="35" spans="1:3">
      <c r="A35" s="5">
        <v>10</v>
      </c>
      <c r="B35" s="5">
        <v>28.772179453642657</v>
      </c>
      <c r="C35" s="5">
        <v>-2.7721794536426572</v>
      </c>
    </row>
    <row r="36" spans="1:3">
      <c r="A36" s="5">
        <v>11</v>
      </c>
      <c r="B36" s="5">
        <v>29.081960515274503</v>
      </c>
      <c r="C36" s="5">
        <v>-1.2819605152745019</v>
      </c>
    </row>
    <row r="37" spans="1:3">
      <c r="A37" s="5">
        <v>12</v>
      </c>
      <c r="B37" s="5">
        <v>29.369134096032226</v>
      </c>
      <c r="C37" s="5">
        <v>-0.26913409603222505</v>
      </c>
    </row>
    <row r="38" spans="1:3">
      <c r="A38" s="5">
        <v>13</v>
      </c>
      <c r="B38" s="5">
        <v>28.757309522809461</v>
      </c>
      <c r="C38" s="5">
        <v>-0.35730952280946227</v>
      </c>
    </row>
    <row r="39" spans="1:3">
      <c r="A39" s="5">
        <v>14</v>
      </c>
      <c r="B39" s="5">
        <v>28.89902523635196</v>
      </c>
      <c r="C39" s="5">
        <v>-1.6990252363519609</v>
      </c>
    </row>
    <row r="40" spans="1:3" ht="15" thickBot="1">
      <c r="A40" s="6">
        <v>15</v>
      </c>
      <c r="B40" s="6">
        <v>29.014633018383698</v>
      </c>
      <c r="C40" s="6">
        <v>5.485366981616302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78A71-4885-4562-8B78-814595A76503}">
  <dimension ref="A1:I40"/>
  <sheetViews>
    <sheetView workbookViewId="0">
      <selection activeCell="M5" sqref="M5"/>
    </sheetView>
  </sheetViews>
  <sheetFormatPr defaultRowHeight="14.25"/>
  <cols>
    <col min="1" max="1" width="23.5" customWidth="1"/>
    <col min="2" max="2" width="18.625" bestFit="1" customWidth="1"/>
    <col min="3" max="3" width="20.875" bestFit="1" customWidth="1"/>
    <col min="4" max="4" width="19.375" customWidth="1"/>
    <col min="5" max="5" width="12" bestFit="1" customWidth="1"/>
    <col min="6" max="6" width="13.75" bestFit="1" customWidth="1"/>
    <col min="7" max="7" width="12.5" bestFit="1" customWidth="1"/>
    <col min="8" max="8" width="13.75" bestFit="1" customWidth="1"/>
    <col min="9" max="9" width="11" customWidth="1"/>
  </cols>
  <sheetData>
    <row r="1" spans="1:9">
      <c r="A1" t="s">
        <v>24</v>
      </c>
    </row>
    <row r="2" spans="1:9" ht="15" thickBot="1"/>
    <row r="3" spans="1:9">
      <c r="A3" s="8" t="s">
        <v>25</v>
      </c>
      <c r="B3" s="8"/>
    </row>
    <row r="4" spans="1:9">
      <c r="A4" s="5" t="s">
        <v>26</v>
      </c>
      <c r="B4" s="5">
        <v>0.40357119908027228</v>
      </c>
      <c r="D4" t="s">
        <v>60</v>
      </c>
      <c r="E4">
        <f>_xlfn.F.INV.RT(0.05,B12,B13)</f>
        <v>3.8852938346523942</v>
      </c>
    </row>
    <row r="5" spans="1:9">
      <c r="A5" s="5" t="s">
        <v>27</v>
      </c>
      <c r="B5" s="5">
        <v>0.16286971272708878</v>
      </c>
      <c r="D5" t="s">
        <v>63</v>
      </c>
      <c r="E5">
        <f>_xlfn.T.INV.2T(0.05,B13)</f>
        <v>2.1788128296672284</v>
      </c>
    </row>
    <row r="6" spans="1:9">
      <c r="A6" s="5" t="s">
        <v>28</v>
      </c>
      <c r="B6" s="5">
        <v>2.3347998181603564E-2</v>
      </c>
    </row>
    <row r="7" spans="1:9">
      <c r="A7" s="5" t="s">
        <v>7</v>
      </c>
      <c r="B7" s="5">
        <v>2.1686396551523299</v>
      </c>
    </row>
    <row r="8" spans="1:9" ht="15" thickBot="1">
      <c r="A8" s="6" t="s">
        <v>29</v>
      </c>
      <c r="B8" s="6">
        <v>15</v>
      </c>
    </row>
    <row r="10" spans="1:9" ht="15" thickBot="1">
      <c r="A10" t="s">
        <v>30</v>
      </c>
    </row>
    <row r="11" spans="1:9">
      <c r="A11" s="7"/>
      <c r="B11" s="7" t="s">
        <v>35</v>
      </c>
      <c r="C11" s="7" t="s">
        <v>36</v>
      </c>
      <c r="D11" s="7" t="s">
        <v>37</v>
      </c>
      <c r="E11" s="7" t="s">
        <v>38</v>
      </c>
      <c r="F11" s="7" t="s">
        <v>39</v>
      </c>
    </row>
    <row r="12" spans="1:9">
      <c r="A12" s="5" t="s">
        <v>31</v>
      </c>
      <c r="B12" s="5">
        <v>2</v>
      </c>
      <c r="C12" s="5">
        <v>10.980024553209418</v>
      </c>
      <c r="D12" s="5">
        <v>5.490012276604709</v>
      </c>
      <c r="E12" s="5">
        <v>1.1673431139924237</v>
      </c>
      <c r="F12" s="5">
        <v>0.34415836482054946</v>
      </c>
    </row>
    <row r="13" spans="1:9">
      <c r="A13" s="5" t="s">
        <v>32</v>
      </c>
      <c r="B13" s="5">
        <v>12</v>
      </c>
      <c r="C13" s="5">
        <v>56.435975446790593</v>
      </c>
      <c r="D13" s="5">
        <v>4.7029979538992164</v>
      </c>
      <c r="E13" s="5"/>
      <c r="F13" s="5"/>
    </row>
    <row r="14" spans="1:9" ht="15" thickBot="1">
      <c r="A14" s="6" t="s">
        <v>33</v>
      </c>
      <c r="B14" s="6">
        <v>14</v>
      </c>
      <c r="C14" s="6">
        <v>67.416000000000011</v>
      </c>
      <c r="D14" s="6"/>
      <c r="E14" s="6"/>
      <c r="F14" s="6"/>
    </row>
    <row r="15" spans="1:9" ht="15" thickBot="1"/>
    <row r="16" spans="1:9">
      <c r="A16" s="7"/>
      <c r="B16" s="7" t="s">
        <v>40</v>
      </c>
      <c r="C16" s="7" t="s">
        <v>7</v>
      </c>
      <c r="D16" s="7" t="s">
        <v>41</v>
      </c>
      <c r="E16" s="7" t="s">
        <v>42</v>
      </c>
      <c r="F16" s="7" t="s">
        <v>43</v>
      </c>
      <c r="G16" s="7" t="s">
        <v>44</v>
      </c>
      <c r="H16" s="7" t="s">
        <v>45</v>
      </c>
      <c r="I16" s="7" t="s">
        <v>46</v>
      </c>
    </row>
    <row r="17" spans="1:9">
      <c r="A17" s="5" t="s">
        <v>62</v>
      </c>
      <c r="B17" s="5">
        <v>41.074490882701475</v>
      </c>
      <c r="C17" s="5">
        <v>19.447988211954119</v>
      </c>
      <c r="D17" s="5">
        <v>2.1120174711672322</v>
      </c>
      <c r="E17" s="5">
        <v>5.6329172228455134E-2</v>
      </c>
      <c r="F17" s="5">
        <v>-1.2990353447211831</v>
      </c>
      <c r="G17" s="5">
        <v>83.448017110124141</v>
      </c>
      <c r="H17" s="5">
        <v>-1.2990353447211831</v>
      </c>
      <c r="I17" s="5">
        <v>83.448017110124141</v>
      </c>
    </row>
    <row r="18" spans="1:9">
      <c r="A18" s="5" t="s">
        <v>21</v>
      </c>
      <c r="B18" s="5">
        <v>-2.6778135907850345E-2</v>
      </c>
      <c r="C18" s="5">
        <v>3.5924641840988744E-2</v>
      </c>
      <c r="D18" s="5">
        <v>-0.74539743573163308</v>
      </c>
      <c r="E18" s="5">
        <v>0.47038034108646176</v>
      </c>
      <c r="F18" s="5">
        <v>-0.10505120645219675</v>
      </c>
      <c r="G18" s="5">
        <v>5.1494934636496056E-2</v>
      </c>
      <c r="H18" s="5">
        <v>-0.10505120645219675</v>
      </c>
      <c r="I18" s="5">
        <v>5.1494934636496056E-2</v>
      </c>
    </row>
    <row r="19" spans="1:9" ht="15" thickBot="1">
      <c r="A19" s="6" t="s">
        <v>23</v>
      </c>
      <c r="B19" s="6">
        <v>9.3809924951473861E-3</v>
      </c>
      <c r="C19" s="6">
        <v>9.4888682552461204E-3</v>
      </c>
      <c r="D19" s="6">
        <v>0.98863133545572279</v>
      </c>
      <c r="E19" s="6">
        <v>0.34235938747360251</v>
      </c>
      <c r="F19" s="6">
        <v>-1.1293475398404949E-2</v>
      </c>
      <c r="G19" s="6">
        <v>3.0055460388699721E-2</v>
      </c>
      <c r="H19" s="6">
        <v>-1.1293475398404949E-2</v>
      </c>
      <c r="I19" s="6">
        <v>3.0055460388699721E-2</v>
      </c>
    </row>
    <row r="23" spans="1:9">
      <c r="A23" t="s">
        <v>47</v>
      </c>
    </row>
    <row r="24" spans="1:9" ht="15" thickBot="1"/>
    <row r="25" spans="1:9">
      <c r="A25" s="7" t="s">
        <v>48</v>
      </c>
      <c r="B25" s="7" t="s">
        <v>56</v>
      </c>
      <c r="C25" s="7" t="s">
        <v>50</v>
      </c>
    </row>
    <row r="26" spans="1:9">
      <c r="A26" s="5">
        <v>1</v>
      </c>
      <c r="B26" s="5">
        <v>27.673150362661797</v>
      </c>
      <c r="C26" s="5">
        <v>-1.7731503626617986</v>
      </c>
    </row>
    <row r="27" spans="1:9">
      <c r="A27" s="5">
        <v>2</v>
      </c>
      <c r="B27" s="5">
        <v>27.941971725437977</v>
      </c>
      <c r="C27" s="5">
        <v>-1.6419717254379762</v>
      </c>
    </row>
    <row r="28" spans="1:9">
      <c r="A28" s="5">
        <v>3</v>
      </c>
      <c r="B28" s="5">
        <v>26.868887310712207</v>
      </c>
      <c r="C28" s="5">
        <v>-0.46888731071220846</v>
      </c>
    </row>
    <row r="29" spans="1:9">
      <c r="A29" s="5">
        <v>4</v>
      </c>
      <c r="B29" s="5">
        <v>26.864758206269837</v>
      </c>
      <c r="C29" s="5">
        <v>-0.3647582062698369</v>
      </c>
    </row>
    <row r="30" spans="1:9">
      <c r="A30" s="5">
        <v>5</v>
      </c>
      <c r="B30" s="5">
        <v>27.550420473710474</v>
      </c>
      <c r="C30" s="5">
        <v>-0.35042047371047502</v>
      </c>
    </row>
    <row r="31" spans="1:9">
      <c r="A31" s="5">
        <v>6</v>
      </c>
      <c r="B31" s="5">
        <v>27.325293943681736</v>
      </c>
      <c r="C31" s="5">
        <v>1.2747060563182657</v>
      </c>
    </row>
    <row r="32" spans="1:9">
      <c r="A32" s="5">
        <v>7</v>
      </c>
      <c r="B32" s="5">
        <v>27.610011124135266</v>
      </c>
      <c r="C32" s="5">
        <v>1.2899888758647329</v>
      </c>
    </row>
    <row r="33" spans="1:3">
      <c r="A33" s="5">
        <v>8</v>
      </c>
      <c r="B33" s="5">
        <v>27.885229952471331</v>
      </c>
      <c r="C33" s="5">
        <v>1.614770047528669</v>
      </c>
    </row>
    <row r="34" spans="1:3">
      <c r="A34" s="5">
        <v>9</v>
      </c>
      <c r="B34" s="5">
        <v>28.277268989494491</v>
      </c>
      <c r="C34" s="5">
        <v>1.5227310105055096</v>
      </c>
    </row>
    <row r="35" spans="1:3">
      <c r="A35" s="5">
        <v>10</v>
      </c>
      <c r="B35" s="5">
        <v>28.172473007183722</v>
      </c>
      <c r="C35" s="5">
        <v>-2.1724730071837222</v>
      </c>
    </row>
    <row r="36" spans="1:3">
      <c r="A36" s="5">
        <v>11</v>
      </c>
      <c r="B36" s="5">
        <v>28.583733516554219</v>
      </c>
      <c r="C36" s="5">
        <v>-0.78373351655421786</v>
      </c>
    </row>
    <row r="37" spans="1:3">
      <c r="A37" s="5">
        <v>12</v>
      </c>
      <c r="B37" s="5">
        <v>29.27603163816066</v>
      </c>
      <c r="C37" s="5">
        <v>-0.17603163816065859</v>
      </c>
    </row>
    <row r="38" spans="1:3">
      <c r="A38" s="5">
        <v>13</v>
      </c>
      <c r="B38" s="5">
        <v>29.579114193895666</v>
      </c>
      <c r="C38" s="5">
        <v>-1.1791141938956677</v>
      </c>
    </row>
    <row r="39" spans="1:3">
      <c r="A39" s="5">
        <v>14</v>
      </c>
      <c r="B39" s="5">
        <v>29.46901078460645</v>
      </c>
      <c r="C39" s="5">
        <v>-2.2690107846064507</v>
      </c>
    </row>
    <row r="40" spans="1:3" ht="15" thickBot="1">
      <c r="A40" s="6">
        <v>15</v>
      </c>
      <c r="B40" s="6">
        <v>29.022644771024158</v>
      </c>
      <c r="C40" s="6">
        <v>5.477355228975842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F2FA8-1DF3-44DB-AB77-ECEB003A6605}">
  <dimension ref="A1:I41"/>
  <sheetViews>
    <sheetView workbookViewId="0">
      <selection activeCell="E7" sqref="E7"/>
    </sheetView>
  </sheetViews>
  <sheetFormatPr defaultRowHeight="14.25"/>
  <cols>
    <col min="1" max="1" width="23.75" customWidth="1"/>
    <col min="2" max="2" width="18.625" bestFit="1" customWidth="1"/>
    <col min="3" max="3" width="20.875" bestFit="1" customWidth="1"/>
    <col min="4" max="4" width="17.75" customWidth="1"/>
    <col min="5" max="5" width="12" bestFit="1" customWidth="1"/>
    <col min="6" max="6" width="13.75" bestFit="1" customWidth="1"/>
    <col min="7" max="7" width="12.5" bestFit="1" customWidth="1"/>
    <col min="8" max="8" width="13.75" bestFit="1" customWidth="1"/>
    <col min="9" max="9" width="14" bestFit="1" customWidth="1"/>
  </cols>
  <sheetData>
    <row r="1" spans="1:9">
      <c r="A1" t="s">
        <v>24</v>
      </c>
    </row>
    <row r="2" spans="1:9" ht="15" thickBot="1"/>
    <row r="3" spans="1:9">
      <c r="A3" s="8" t="s">
        <v>25</v>
      </c>
      <c r="B3" s="8"/>
    </row>
    <row r="4" spans="1:9">
      <c r="A4" s="5" t="s">
        <v>26</v>
      </c>
      <c r="B4" s="5">
        <v>0.4063682011547709</v>
      </c>
    </row>
    <row r="5" spans="1:9">
      <c r="A5" s="5" t="s">
        <v>27</v>
      </c>
      <c r="B5" s="5">
        <v>0.16513511490976435</v>
      </c>
    </row>
    <row r="6" spans="1:9">
      <c r="A6" s="5" t="s">
        <v>28</v>
      </c>
      <c r="B6" s="5">
        <v>-6.2555308296663573E-2</v>
      </c>
      <c r="D6" t="s">
        <v>60</v>
      </c>
      <c r="E6">
        <f>_xlfn.F.INV.RT(0.05,B12,B13)</f>
        <v>3.5874337024204954</v>
      </c>
    </row>
    <row r="7" spans="1:9">
      <c r="A7" s="5" t="s">
        <v>7</v>
      </c>
      <c r="B7" s="5">
        <v>2.2620033577107814</v>
      </c>
      <c r="D7" t="s">
        <v>63</v>
      </c>
      <c r="E7">
        <f>_xlfn.T.INV.2T(0.05,B13)</f>
        <v>2.2009851600916384</v>
      </c>
    </row>
    <row r="8" spans="1:9" ht="15" thickBot="1">
      <c r="A8" s="6" t="s">
        <v>29</v>
      </c>
      <c r="B8" s="6">
        <v>15</v>
      </c>
    </row>
    <row r="10" spans="1:9" ht="15" thickBot="1">
      <c r="A10" t="s">
        <v>30</v>
      </c>
    </row>
    <row r="11" spans="1:9">
      <c r="A11" s="7"/>
      <c r="B11" s="7" t="s">
        <v>35</v>
      </c>
      <c r="C11" s="7" t="s">
        <v>36</v>
      </c>
      <c r="D11" s="7" t="s">
        <v>37</v>
      </c>
      <c r="E11" s="7" t="s">
        <v>38</v>
      </c>
      <c r="F11" s="7" t="s">
        <v>39</v>
      </c>
    </row>
    <row r="12" spans="1:9">
      <c r="A12" s="5" t="s">
        <v>31</v>
      </c>
      <c r="B12" s="5">
        <v>3</v>
      </c>
      <c r="C12" s="5">
        <v>11.132748906756675</v>
      </c>
      <c r="D12" s="5">
        <v>3.7109163022522247</v>
      </c>
      <c r="E12" s="5">
        <v>0.72526157483597853</v>
      </c>
      <c r="F12" s="5">
        <v>0.55780935084991812</v>
      </c>
    </row>
    <row r="13" spans="1:9">
      <c r="A13" s="5" t="s">
        <v>32</v>
      </c>
      <c r="B13" s="5">
        <v>11</v>
      </c>
      <c r="C13" s="5">
        <v>56.283251093243337</v>
      </c>
      <c r="D13" s="5">
        <v>5.1166591902948486</v>
      </c>
      <c r="E13" s="5"/>
      <c r="F13" s="5"/>
    </row>
    <row r="14" spans="1:9" ht="15" thickBot="1">
      <c r="A14" s="6" t="s">
        <v>33</v>
      </c>
      <c r="B14" s="6">
        <v>14</v>
      </c>
      <c r="C14" s="6">
        <v>67.416000000000011</v>
      </c>
      <c r="D14" s="6"/>
      <c r="E14" s="6"/>
      <c r="F14" s="6"/>
    </row>
    <row r="15" spans="1:9" ht="15" thickBot="1"/>
    <row r="16" spans="1:9">
      <c r="A16" s="7"/>
      <c r="B16" s="7" t="s">
        <v>40</v>
      </c>
      <c r="C16" s="7" t="s">
        <v>7</v>
      </c>
      <c r="D16" s="7" t="s">
        <v>41</v>
      </c>
      <c r="E16" s="7" t="s">
        <v>42</v>
      </c>
      <c r="F16" s="7" t="s">
        <v>43</v>
      </c>
      <c r="G16" s="7" t="s">
        <v>44</v>
      </c>
      <c r="H16" s="7" t="s">
        <v>45</v>
      </c>
      <c r="I16" s="7" t="s">
        <v>46</v>
      </c>
    </row>
    <row r="17" spans="1:9">
      <c r="A17" s="5" t="s">
        <v>34</v>
      </c>
      <c r="B17" s="5">
        <v>35.640895903032643</v>
      </c>
      <c r="C17" s="5">
        <v>37.424860712172567</v>
      </c>
      <c r="D17" s="5">
        <v>0.95233209221912529</v>
      </c>
      <c r="E17" s="5">
        <v>0.36138623402039705</v>
      </c>
      <c r="F17" s="5">
        <v>-46.730667142955767</v>
      </c>
      <c r="G17" s="5">
        <v>118.01245894902105</v>
      </c>
      <c r="H17" s="5">
        <v>-46.730667142955767</v>
      </c>
      <c r="I17" s="5">
        <v>118.01245894902105</v>
      </c>
    </row>
    <row r="18" spans="1:9">
      <c r="A18" s="5" t="s">
        <v>55</v>
      </c>
      <c r="B18" s="5">
        <v>-2.2834110956952921E-2</v>
      </c>
      <c r="C18" s="5">
        <v>4.3877545989912468E-2</v>
      </c>
      <c r="D18" s="5">
        <v>-0.52040537914774287</v>
      </c>
      <c r="E18" s="5">
        <v>0.61309446674039725</v>
      </c>
      <c r="F18" s="5">
        <v>-0.11940793854198864</v>
      </c>
      <c r="G18" s="5">
        <v>7.3739716628082791E-2</v>
      </c>
      <c r="H18" s="5">
        <v>-0.11940793854198864</v>
      </c>
      <c r="I18" s="5">
        <v>7.3739716628082791E-2</v>
      </c>
    </row>
    <row r="19" spans="1:9">
      <c r="A19" s="5" t="s">
        <v>23</v>
      </c>
      <c r="B19" s="5">
        <v>7.7338675533193428E-3</v>
      </c>
      <c r="C19" s="5">
        <v>1.3742318495897061E-2</v>
      </c>
      <c r="D19" s="5">
        <v>0.5627774931594246</v>
      </c>
      <c r="E19" s="5">
        <v>0.58487379356219193</v>
      </c>
      <c r="F19" s="5">
        <v>-2.2512771521402932E-2</v>
      </c>
      <c r="G19" s="5">
        <v>3.7980506628041616E-2</v>
      </c>
      <c r="H19" s="5">
        <v>-2.2512771521402932E-2</v>
      </c>
      <c r="I19" s="5">
        <v>3.7980506628041616E-2</v>
      </c>
    </row>
    <row r="20" spans="1:9" ht="15" thickBot="1">
      <c r="A20" s="6" t="s">
        <v>22</v>
      </c>
      <c r="B20" s="6">
        <v>1.6943525457560634E-4</v>
      </c>
      <c r="C20" s="6">
        <v>9.80715133552373E-4</v>
      </c>
      <c r="D20" s="6">
        <v>0.17276704394462983</v>
      </c>
      <c r="E20" s="6">
        <v>0.86597241204272579</v>
      </c>
      <c r="F20" s="6">
        <v>-1.9891042006504561E-3</v>
      </c>
      <c r="G20" s="6">
        <v>2.3279747098016684E-3</v>
      </c>
      <c r="H20" s="6">
        <v>-1.9891042006504561E-3</v>
      </c>
      <c r="I20" s="6">
        <v>2.3279747098016684E-3</v>
      </c>
    </row>
    <row r="24" spans="1:9">
      <c r="A24" t="s">
        <v>47</v>
      </c>
    </row>
    <row r="25" spans="1:9" ht="15" thickBot="1"/>
    <row r="26" spans="1:9">
      <c r="A26" s="7" t="s">
        <v>48</v>
      </c>
      <c r="B26" s="7" t="s">
        <v>56</v>
      </c>
      <c r="C26" s="7" t="s">
        <v>50</v>
      </c>
    </row>
    <row r="27" spans="1:9">
      <c r="A27" s="5">
        <v>1</v>
      </c>
      <c r="B27" s="5">
        <v>27.625923825310096</v>
      </c>
      <c r="C27" s="5">
        <v>-1.7259238253100975</v>
      </c>
    </row>
    <row r="28" spans="1:9">
      <c r="A28" s="5">
        <v>2</v>
      </c>
      <c r="B28" s="5">
        <v>27.784097372737083</v>
      </c>
      <c r="C28" s="5">
        <v>-1.4840973727370823</v>
      </c>
    </row>
    <row r="29" spans="1:9">
      <c r="A29" s="5">
        <v>3</v>
      </c>
      <c r="B29" s="5">
        <v>26.937308865407154</v>
      </c>
      <c r="C29" s="5">
        <v>-0.53730886540715517</v>
      </c>
    </row>
    <row r="30" spans="1:9">
      <c r="A30" s="5">
        <v>4</v>
      </c>
      <c r="B30" s="5">
        <v>26.936222063897141</v>
      </c>
      <c r="C30" s="5">
        <v>-0.4362220638971408</v>
      </c>
    </row>
    <row r="31" spans="1:9">
      <c r="A31" s="5">
        <v>5</v>
      </c>
      <c r="B31" s="5">
        <v>27.498148269262519</v>
      </c>
      <c r="C31" s="5">
        <v>-0.29814826926251925</v>
      </c>
    </row>
    <row r="32" spans="1:9">
      <c r="A32" s="5">
        <v>6</v>
      </c>
      <c r="B32" s="5">
        <v>27.357597388900462</v>
      </c>
      <c r="C32" s="5">
        <v>1.2424026110995392</v>
      </c>
    </row>
    <row r="33" spans="1:3">
      <c r="A33" s="5">
        <v>7</v>
      </c>
      <c r="B33" s="5">
        <v>27.362387166318779</v>
      </c>
      <c r="C33" s="5">
        <v>1.5376128336812194</v>
      </c>
    </row>
    <row r="34" spans="1:3">
      <c r="A34" s="5">
        <v>8</v>
      </c>
      <c r="B34" s="5">
        <v>27.924026750148155</v>
      </c>
      <c r="C34" s="5">
        <v>1.5759732498518453</v>
      </c>
    </row>
    <row r="35" spans="1:3">
      <c r="A35" s="5">
        <v>9</v>
      </c>
      <c r="B35" s="5">
        <v>28.34053098789099</v>
      </c>
      <c r="C35" s="5">
        <v>1.459469012109011</v>
      </c>
    </row>
    <row r="36" spans="1:3">
      <c r="A36" s="5">
        <v>10</v>
      </c>
      <c r="B36" s="5">
        <v>28.307965024155774</v>
      </c>
      <c r="C36" s="5">
        <v>-2.3079650241557736</v>
      </c>
    </row>
    <row r="37" spans="1:3">
      <c r="A37" s="5">
        <v>11</v>
      </c>
      <c r="B37" s="5">
        <v>28.708099914569168</v>
      </c>
      <c r="C37" s="5">
        <v>-0.90809991456916705</v>
      </c>
    </row>
    <row r="38" spans="1:3">
      <c r="A38" s="5">
        <v>12</v>
      </c>
      <c r="B38" s="5">
        <v>29.335049689634477</v>
      </c>
      <c r="C38" s="5">
        <v>-0.23504968963447581</v>
      </c>
    </row>
    <row r="39" spans="1:3">
      <c r="A39" s="5">
        <v>13</v>
      </c>
      <c r="B39" s="5">
        <v>29.524783280532819</v>
      </c>
      <c r="C39" s="5">
        <v>-1.1247832805328208</v>
      </c>
    </row>
    <row r="40" spans="1:3">
      <c r="A40" s="5">
        <v>14</v>
      </c>
      <c r="B40" s="5">
        <v>29.405480337616584</v>
      </c>
      <c r="C40" s="5">
        <v>-2.205480337616585</v>
      </c>
    </row>
    <row r="41" spans="1:3" ht="15" thickBot="1">
      <c r="A41" s="6">
        <v>15</v>
      </c>
      <c r="B41" s="6">
        <v>29.052379063618844</v>
      </c>
      <c r="C41" s="6">
        <v>5.4476209363811563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4C077-2E57-47F9-93C9-C7133785DBA5}">
  <dimension ref="A1:Z41"/>
  <sheetViews>
    <sheetView tabSelected="1" zoomScale="87" zoomScaleNormal="87" workbookViewId="0">
      <selection activeCell="C4" sqref="C4"/>
    </sheetView>
  </sheetViews>
  <sheetFormatPr defaultRowHeight="14.25"/>
  <cols>
    <col min="1" max="1" width="12.125" customWidth="1"/>
    <col min="2" max="2" width="23.375" customWidth="1"/>
    <col min="3" max="3" width="34.75" bestFit="1" customWidth="1"/>
    <col min="4" max="4" width="33.25" bestFit="1" customWidth="1"/>
    <col min="5" max="5" width="47.375" customWidth="1"/>
    <col min="6" max="6" width="39.5" customWidth="1"/>
    <col min="7" max="7" width="30.125" customWidth="1"/>
    <col min="20" max="20" width="16.375" customWidth="1"/>
    <col min="21" max="21" width="36.625" bestFit="1" customWidth="1"/>
    <col min="22" max="22" width="50" bestFit="1" customWidth="1"/>
    <col min="23" max="23" width="17.25" customWidth="1"/>
  </cols>
  <sheetData>
    <row r="1" spans="1:23" ht="72">
      <c r="A1" s="1" t="s">
        <v>0</v>
      </c>
      <c r="B1" s="2" t="s">
        <v>1</v>
      </c>
      <c r="C1" s="1" t="s">
        <v>2</v>
      </c>
      <c r="D1" s="1" t="s">
        <v>3</v>
      </c>
      <c r="E1" s="1" t="s">
        <v>5</v>
      </c>
      <c r="F1" s="15" t="s">
        <v>84</v>
      </c>
      <c r="T1" s="2" t="s">
        <v>1</v>
      </c>
      <c r="U1" s="1" t="s">
        <v>2</v>
      </c>
      <c r="V1" s="1" t="s">
        <v>5</v>
      </c>
      <c r="W1" s="1" t="s">
        <v>3</v>
      </c>
    </row>
    <row r="2" spans="1:23" ht="18">
      <c r="A2" s="1">
        <v>2010</v>
      </c>
      <c r="B2" s="18">
        <v>25.8</v>
      </c>
      <c r="C2" s="18">
        <v>534</v>
      </c>
      <c r="D2" s="19">
        <v>20238</v>
      </c>
      <c r="E2" s="18">
        <v>88.2</v>
      </c>
      <c r="F2" s="1">
        <f>B2/D2</f>
        <v>1.2748295286095464E-3</v>
      </c>
      <c r="T2">
        <v>25.8</v>
      </c>
      <c r="U2">
        <v>534</v>
      </c>
      <c r="V2">
        <v>88.2</v>
      </c>
      <c r="W2">
        <v>20238</v>
      </c>
    </row>
    <row r="3" spans="1:23" ht="18">
      <c r="A3" s="1">
        <v>2011</v>
      </c>
      <c r="B3" s="18">
        <v>25.9</v>
      </c>
      <c r="C3" s="18">
        <v>524</v>
      </c>
      <c r="D3" s="19">
        <v>20246</v>
      </c>
      <c r="E3" s="18">
        <v>67.2</v>
      </c>
      <c r="F3" s="1">
        <f t="shared" ref="F3:F17" si="0">B3/D3</f>
        <v>1.2792650400079027E-3</v>
      </c>
      <c r="T3">
        <v>25.9</v>
      </c>
      <c r="U3">
        <v>524</v>
      </c>
      <c r="V3">
        <v>67.2</v>
      </c>
      <c r="W3">
        <v>20246</v>
      </c>
    </row>
    <row r="4" spans="1:23" ht="18">
      <c r="A4" s="1">
        <v>2012</v>
      </c>
      <c r="B4" s="18">
        <v>26.3</v>
      </c>
      <c r="C4" s="18">
        <v>512.70000000000005</v>
      </c>
      <c r="D4" s="19">
        <v>19821</v>
      </c>
      <c r="E4" s="18">
        <v>63.6</v>
      </c>
      <c r="F4" s="1">
        <f t="shared" si="0"/>
        <v>1.3268755360476264E-3</v>
      </c>
      <c r="T4">
        <v>26.3</v>
      </c>
      <c r="U4">
        <v>512.70000000000005</v>
      </c>
      <c r="V4">
        <v>63.6</v>
      </c>
      <c r="W4">
        <v>19821</v>
      </c>
    </row>
    <row r="5" spans="1:23" ht="18">
      <c r="A5" s="1">
        <v>2013</v>
      </c>
      <c r="B5" s="18">
        <v>26.4</v>
      </c>
      <c r="C5" s="18">
        <v>560.20000000000005</v>
      </c>
      <c r="D5" s="19">
        <v>20257</v>
      </c>
      <c r="E5" s="18">
        <v>84.8</v>
      </c>
      <c r="F5" s="1">
        <f t="shared" si="0"/>
        <v>1.3032531964259268E-3</v>
      </c>
      <c r="T5">
        <v>26.4</v>
      </c>
      <c r="U5">
        <v>560.20000000000005</v>
      </c>
      <c r="V5">
        <v>84.8</v>
      </c>
      <c r="W5">
        <v>20257</v>
      </c>
    </row>
    <row r="6" spans="1:23" ht="18">
      <c r="A6" s="1">
        <v>2014</v>
      </c>
      <c r="B6" s="18">
        <v>26.5</v>
      </c>
      <c r="C6" s="18">
        <v>555.79999999999995</v>
      </c>
      <c r="D6" s="19">
        <v>20251</v>
      </c>
      <c r="E6" s="18">
        <v>71.8</v>
      </c>
      <c r="F6" s="1">
        <f t="shared" si="0"/>
        <v>1.3085773542047307E-3</v>
      </c>
      <c r="T6">
        <v>26.5</v>
      </c>
      <c r="U6">
        <v>555.79999999999995</v>
      </c>
      <c r="V6">
        <v>71.8</v>
      </c>
      <c r="W6">
        <v>20251</v>
      </c>
    </row>
    <row r="7" spans="1:23" ht="18">
      <c r="A7" s="1">
        <v>2015</v>
      </c>
      <c r="B7" s="18">
        <v>27.2</v>
      </c>
      <c r="C7" s="18">
        <v>546.79999999999995</v>
      </c>
      <c r="D7" s="19">
        <v>20191</v>
      </c>
      <c r="E7" s="18">
        <v>119.2</v>
      </c>
      <c r="F7" s="1">
        <f t="shared" si="0"/>
        <v>1.3471348620672577E-3</v>
      </c>
      <c r="S7">
        <v>2015</v>
      </c>
      <c r="T7">
        <v>27.2</v>
      </c>
      <c r="U7">
        <v>546.79999999999995</v>
      </c>
      <c r="V7">
        <v>119.2</v>
      </c>
      <c r="W7">
        <v>20191</v>
      </c>
    </row>
    <row r="8" spans="1:23" ht="18">
      <c r="A8" s="1">
        <v>2016</v>
      </c>
      <c r="B8" s="18">
        <v>28.6</v>
      </c>
      <c r="C8" s="18">
        <v>547.5</v>
      </c>
      <c r="D8" s="19">
        <v>20460</v>
      </c>
      <c r="E8" s="18">
        <v>97.2</v>
      </c>
      <c r="F8" s="1">
        <f t="shared" si="0"/>
        <v>1.3978494623655914E-3</v>
      </c>
      <c r="T8">
        <v>28.6</v>
      </c>
      <c r="U8">
        <v>547.5</v>
      </c>
      <c r="V8">
        <v>97.2</v>
      </c>
      <c r="W8">
        <v>20460</v>
      </c>
    </row>
    <row r="9" spans="1:23" ht="18">
      <c r="A9" s="1">
        <v>2017</v>
      </c>
      <c r="B9" s="18">
        <v>28.9</v>
      </c>
      <c r="C9" s="18">
        <v>534.1</v>
      </c>
      <c r="D9" s="19">
        <v>19043</v>
      </c>
      <c r="E9" s="18">
        <v>89.3</v>
      </c>
      <c r="F9" s="1">
        <f t="shared" si="0"/>
        <v>1.5176180223704248E-3</v>
      </c>
      <c r="T9">
        <v>28.9</v>
      </c>
      <c r="U9">
        <v>534.1</v>
      </c>
      <c r="V9">
        <v>89.3</v>
      </c>
      <c r="W9">
        <v>19043</v>
      </c>
    </row>
    <row r="10" spans="1:23" ht="18">
      <c r="A10" s="1">
        <v>2018</v>
      </c>
      <c r="B10" s="18">
        <v>29.5</v>
      </c>
      <c r="C10" s="18">
        <v>526.79999999999995</v>
      </c>
      <c r="D10" s="19">
        <v>20986</v>
      </c>
      <c r="E10" s="18">
        <v>97.8</v>
      </c>
      <c r="F10" s="1">
        <f t="shared" si="0"/>
        <v>1.4056990374535405E-3</v>
      </c>
      <c r="T10">
        <v>29.5</v>
      </c>
      <c r="U10">
        <v>526.79999999999995</v>
      </c>
      <c r="V10">
        <v>97.8</v>
      </c>
      <c r="W10">
        <v>20986</v>
      </c>
    </row>
    <row r="11" spans="1:23" ht="18">
      <c r="A11" s="1">
        <v>2019</v>
      </c>
      <c r="B11" s="18">
        <v>29.8</v>
      </c>
      <c r="C11" s="18">
        <v>523.29999999999995</v>
      </c>
      <c r="D11" s="19">
        <v>21521</v>
      </c>
      <c r="E11" s="18">
        <v>129.6</v>
      </c>
      <c r="F11" s="1">
        <f t="shared" si="0"/>
        <v>1.3846940197946192E-3</v>
      </c>
      <c r="T11">
        <v>29.8</v>
      </c>
      <c r="U11">
        <v>523.29999999999995</v>
      </c>
      <c r="V11">
        <v>129.6</v>
      </c>
      <c r="W11">
        <v>21521</v>
      </c>
    </row>
    <row r="12" spans="1:23" ht="18">
      <c r="A12" s="1">
        <v>2020</v>
      </c>
      <c r="B12" s="18">
        <v>26</v>
      </c>
      <c r="C12" s="18">
        <v>518</v>
      </c>
      <c r="D12" s="19">
        <v>21815</v>
      </c>
      <c r="E12" s="18">
        <v>103.3</v>
      </c>
      <c r="F12" s="1">
        <f t="shared" si="0"/>
        <v>1.1918404767361907E-3</v>
      </c>
      <c r="T12">
        <v>26</v>
      </c>
      <c r="U12">
        <v>518</v>
      </c>
      <c r="V12">
        <v>103.3</v>
      </c>
      <c r="W12">
        <v>21815</v>
      </c>
    </row>
    <row r="13" spans="1:23" ht="18">
      <c r="A13" s="1">
        <v>2021</v>
      </c>
      <c r="B13" s="18">
        <v>27.8</v>
      </c>
      <c r="C13" s="18">
        <v>511.4</v>
      </c>
      <c r="D13" s="19">
        <v>22146</v>
      </c>
      <c r="E13" s="18">
        <v>128.30000000000001</v>
      </c>
      <c r="F13" s="1">
        <f t="shared" si="0"/>
        <v>1.2553056985460129E-3</v>
      </c>
      <c r="S13">
        <v>2021</v>
      </c>
      <c r="T13">
        <v>27.8</v>
      </c>
      <c r="U13">
        <v>511.4</v>
      </c>
      <c r="V13">
        <v>128.30000000000001</v>
      </c>
      <c r="W13">
        <v>22146</v>
      </c>
    </row>
    <row r="14" spans="1:23" ht="18">
      <c r="A14" s="1">
        <v>2022</v>
      </c>
      <c r="B14" s="3">
        <v>29.1</v>
      </c>
      <c r="C14" s="18">
        <v>505.2</v>
      </c>
      <c r="D14" s="19">
        <v>22450</v>
      </c>
      <c r="E14" s="18">
        <v>184.4</v>
      </c>
      <c r="F14" s="1">
        <f t="shared" si="0"/>
        <v>1.2962138084632517E-3</v>
      </c>
      <c r="T14">
        <v>29.1</v>
      </c>
      <c r="U14">
        <v>505.2</v>
      </c>
      <c r="V14">
        <v>184.4</v>
      </c>
      <c r="W14">
        <v>22450</v>
      </c>
    </row>
    <row r="15" spans="1:23" ht="18">
      <c r="A15" s="1">
        <v>2023</v>
      </c>
      <c r="B15" s="3">
        <v>28.4</v>
      </c>
      <c r="C15" s="4" t="s">
        <v>4</v>
      </c>
      <c r="D15" s="19">
        <v>22206</v>
      </c>
      <c r="E15" s="18">
        <v>287.5</v>
      </c>
      <c r="F15" s="1">
        <f t="shared" si="0"/>
        <v>1.2789336215437268E-3</v>
      </c>
      <c r="T15">
        <v>28.4</v>
      </c>
      <c r="U15">
        <v>530</v>
      </c>
      <c r="V15">
        <v>287.5</v>
      </c>
      <c r="W15">
        <v>22206</v>
      </c>
    </row>
    <row r="16" spans="1:23" ht="18">
      <c r="A16" s="1">
        <v>2024</v>
      </c>
      <c r="B16" s="3">
        <v>27.2</v>
      </c>
      <c r="C16" s="3">
        <v>516</v>
      </c>
      <c r="D16" s="19">
        <v>21975</v>
      </c>
      <c r="E16" s="18">
        <v>235.8</v>
      </c>
      <c r="F16" s="1">
        <f t="shared" si="0"/>
        <v>1.2377701934015927E-3</v>
      </c>
      <c r="T16">
        <v>27.2</v>
      </c>
      <c r="U16">
        <v>516</v>
      </c>
      <c r="V16">
        <v>235.8</v>
      </c>
      <c r="W16">
        <v>21975</v>
      </c>
    </row>
    <row r="17" spans="1:26" ht="18">
      <c r="A17" s="1">
        <v>2025</v>
      </c>
      <c r="B17" s="18">
        <v>34.5</v>
      </c>
      <c r="C17" s="3">
        <v>512</v>
      </c>
      <c r="D17" s="19">
        <v>22045</v>
      </c>
      <c r="E17" s="18">
        <v>176.8</v>
      </c>
      <c r="F17" s="1">
        <f t="shared" si="0"/>
        <v>1.5649807212519847E-3</v>
      </c>
      <c r="G17" s="16" t="s">
        <v>58</v>
      </c>
      <c r="T17">
        <v>34.5</v>
      </c>
      <c r="U17">
        <v>512</v>
      </c>
      <c r="V17">
        <v>176.8</v>
      </c>
      <c r="W17">
        <v>22045</v>
      </c>
    </row>
    <row r="18" spans="1:26" ht="18">
      <c r="A18" s="1">
        <v>2026</v>
      </c>
      <c r="B18" s="21"/>
      <c r="D18" s="22">
        <f>AVERAGE(D2:D17)</f>
        <v>20978.1875</v>
      </c>
      <c r="E18" s="20">
        <f>AVERAGE(E2:E17)</f>
        <v>126.55</v>
      </c>
      <c r="F18" s="1">
        <f>_xlfn.FORECAST.LINEAR(A18,F2:F17,A2:A17)</f>
        <v>1.3596945425012625E-3</v>
      </c>
      <c r="G18">
        <f>F18*G38</f>
        <v>29.5408122824666</v>
      </c>
      <c r="T18" s="17">
        <v>28.8</v>
      </c>
      <c r="W18" s="10">
        <v>21726.065200000001</v>
      </c>
    </row>
    <row r="19" spans="1:26" ht="18">
      <c r="A19" s="1">
        <v>2027</v>
      </c>
      <c r="F19" s="1">
        <f>_xlfn.FORECAST.LINEAR(A19,F3:F18,A3:A18)</f>
        <v>1.3565715929357621E-3</v>
      </c>
      <c r="G19">
        <f>F19*G39</f>
        <v>29.630285026851627</v>
      </c>
      <c r="T19" s="17">
        <v>28.9</v>
      </c>
      <c r="W19" s="10">
        <v>21842.035600000003</v>
      </c>
    </row>
    <row r="20" spans="1:26" ht="18">
      <c r="A20" s="1">
        <v>2028</v>
      </c>
      <c r="F20" s="1">
        <f>_xlfn.FORECAST.LINEAR(A20,F4:F19,A4:A19)</f>
        <v>1.3512116073413475E-3</v>
      </c>
      <c r="G20">
        <f>F20*G40</f>
        <v>29.669912581270953</v>
      </c>
      <c r="T20" s="17">
        <v>29</v>
      </c>
      <c r="W20" s="10">
        <v>21958.006000000001</v>
      </c>
    </row>
    <row r="21" spans="1:26" ht="18">
      <c r="A21" s="1">
        <v>2029</v>
      </c>
      <c r="C21" t="s">
        <v>59</v>
      </c>
      <c r="F21" s="1">
        <f>_xlfn.FORECAST.LINEAR(A21,F5:F20,A5:A20)</f>
        <v>1.3497205359310912E-3</v>
      </c>
      <c r="G21">
        <f>F21*G41</f>
        <v>29.793699256738257</v>
      </c>
      <c r="T21" s="17">
        <v>29.1</v>
      </c>
      <c r="W21" s="10">
        <v>22073.9764</v>
      </c>
    </row>
    <row r="22" spans="1:26" ht="18">
      <c r="B22" s="1">
        <v>2010</v>
      </c>
      <c r="C22" s="1">
        <v>88.2</v>
      </c>
      <c r="D22">
        <v>1</v>
      </c>
      <c r="E22" s="10">
        <f t="shared" ref="E22:E40" si="1">19652.7+10.8*C22</f>
        <v>20605.260000000002</v>
      </c>
      <c r="F22" s="1"/>
    </row>
    <row r="23" spans="1:26" ht="18">
      <c r="B23" s="1">
        <v>2011</v>
      </c>
      <c r="C23" s="1">
        <v>67.2</v>
      </c>
      <c r="D23">
        <v>2</v>
      </c>
      <c r="E23" s="10">
        <f t="shared" si="1"/>
        <v>20378.46</v>
      </c>
      <c r="F23" s="1"/>
    </row>
    <row r="24" spans="1:26" ht="18">
      <c r="B24" s="1">
        <v>2012</v>
      </c>
      <c r="C24" s="1">
        <v>63.6</v>
      </c>
      <c r="D24">
        <v>3</v>
      </c>
      <c r="E24" s="10">
        <f t="shared" si="1"/>
        <v>20339.580000000002</v>
      </c>
      <c r="F24" s="1"/>
    </row>
    <row r="25" spans="1:26" ht="18.75" thickBot="1">
      <c r="B25" s="1">
        <v>2013</v>
      </c>
      <c r="C25" s="1">
        <v>84.8</v>
      </c>
      <c r="D25">
        <v>4</v>
      </c>
      <c r="E25" s="10">
        <f t="shared" si="1"/>
        <v>20568.54</v>
      </c>
      <c r="F25" s="1"/>
    </row>
    <row r="26" spans="1:26" ht="18">
      <c r="B26" s="1">
        <v>2014</v>
      </c>
      <c r="C26" s="1">
        <v>71.8</v>
      </c>
      <c r="D26">
        <v>5</v>
      </c>
      <c r="E26" s="10">
        <f t="shared" si="1"/>
        <v>20428.14</v>
      </c>
      <c r="F26" s="1"/>
      <c r="V26" t="s">
        <v>57</v>
      </c>
      <c r="W26" s="12">
        <v>510.99759999999998</v>
      </c>
      <c r="X26" s="13">
        <v>515.99720000000002</v>
      </c>
      <c r="Y26" s="13">
        <v>524.99480000000005</v>
      </c>
      <c r="Z26" s="14">
        <v>524.99620000000004</v>
      </c>
    </row>
    <row r="27" spans="1:26" ht="18">
      <c r="B27" s="1">
        <v>2015</v>
      </c>
      <c r="C27" s="1">
        <v>119.2</v>
      </c>
      <c r="D27">
        <v>6</v>
      </c>
      <c r="E27" s="10">
        <f t="shared" si="1"/>
        <v>20940.060000000001</v>
      </c>
      <c r="F27" s="1"/>
    </row>
    <row r="28" spans="1:26" ht="18">
      <c r="B28" s="1">
        <v>2016</v>
      </c>
      <c r="C28" s="1">
        <v>97.2</v>
      </c>
      <c r="D28">
        <v>7</v>
      </c>
      <c r="E28" s="10">
        <f t="shared" si="1"/>
        <v>20702.46</v>
      </c>
      <c r="F28" s="1"/>
    </row>
    <row r="29" spans="1:26" ht="18">
      <c r="B29" s="1">
        <v>2017</v>
      </c>
      <c r="C29" s="1">
        <v>89.3</v>
      </c>
      <c r="D29">
        <v>8</v>
      </c>
      <c r="E29" s="10">
        <f t="shared" si="1"/>
        <v>20617.14</v>
      </c>
      <c r="F29" s="1"/>
    </row>
    <row r="30" spans="1:26" ht="18">
      <c r="B30" s="1">
        <v>2018</v>
      </c>
      <c r="C30" s="1">
        <v>97.8</v>
      </c>
      <c r="D30">
        <v>9</v>
      </c>
      <c r="E30" s="10">
        <f t="shared" si="1"/>
        <v>20708.940000000002</v>
      </c>
      <c r="F30" s="1"/>
    </row>
    <row r="31" spans="1:26" ht="18">
      <c r="B31" s="1">
        <v>2019</v>
      </c>
      <c r="C31" s="1">
        <v>129.6</v>
      </c>
      <c r="D31">
        <v>10</v>
      </c>
      <c r="E31" s="10">
        <f t="shared" si="1"/>
        <v>21052.38</v>
      </c>
      <c r="F31" s="1"/>
    </row>
    <row r="32" spans="1:26" ht="18">
      <c r="B32" s="1">
        <v>2020</v>
      </c>
      <c r="C32" s="1">
        <v>103.3</v>
      </c>
      <c r="D32">
        <v>11</v>
      </c>
      <c r="E32" s="10">
        <f t="shared" si="1"/>
        <v>20768.34</v>
      </c>
      <c r="F32" s="1"/>
    </row>
    <row r="33" spans="2:7" ht="18">
      <c r="B33" s="1">
        <v>2021</v>
      </c>
      <c r="C33" s="1">
        <v>128.30000000000001</v>
      </c>
      <c r="D33">
        <v>12</v>
      </c>
      <c r="E33" s="10">
        <f t="shared" si="1"/>
        <v>21038.34</v>
      </c>
      <c r="F33" s="1"/>
    </row>
    <row r="34" spans="2:7" ht="18">
      <c r="B34" s="1">
        <v>2022</v>
      </c>
      <c r="C34" s="1">
        <v>184.4</v>
      </c>
      <c r="D34">
        <v>13</v>
      </c>
      <c r="E34" s="10">
        <f t="shared" si="1"/>
        <v>21644.22</v>
      </c>
      <c r="F34" s="1"/>
    </row>
    <row r="35" spans="2:7" ht="18">
      <c r="B35" s="1">
        <v>2023</v>
      </c>
      <c r="C35" s="1">
        <v>287.5</v>
      </c>
      <c r="D35">
        <v>14</v>
      </c>
      <c r="E35" s="10">
        <f t="shared" si="1"/>
        <v>22757.7</v>
      </c>
      <c r="F35" s="1"/>
    </row>
    <row r="36" spans="2:7" ht="18">
      <c r="B36" s="1">
        <v>2024</v>
      </c>
      <c r="C36" s="1">
        <v>235.8</v>
      </c>
      <c r="D36">
        <v>15</v>
      </c>
      <c r="E36" s="10">
        <f t="shared" si="1"/>
        <v>22199.34</v>
      </c>
      <c r="F36" s="1"/>
    </row>
    <row r="37" spans="2:7" ht="18">
      <c r="B37" s="1">
        <v>2025</v>
      </c>
      <c r="C37" s="1">
        <v>176.8</v>
      </c>
      <c r="D37">
        <v>16</v>
      </c>
      <c r="E37" s="10">
        <f>19652.7+10.8*C37</f>
        <v>21562.14</v>
      </c>
      <c r="F37" s="1" t="s">
        <v>83</v>
      </c>
      <c r="G37" s="16"/>
    </row>
    <row r="38" spans="2:7" ht="18">
      <c r="B38" s="1">
        <v>2026</v>
      </c>
      <c r="C38" s="9">
        <f>10.738*D38-35.277</f>
        <v>147.26900000000001</v>
      </c>
      <c r="D38">
        <v>17</v>
      </c>
      <c r="E38" s="10">
        <f>19652.7+10.8*C38</f>
        <v>21243.2052</v>
      </c>
      <c r="F38">
        <f>E38-E37</f>
        <v>-318.93479999999909</v>
      </c>
      <c r="G38" s="11">
        <f>F38+D17</f>
        <v>21726.065200000001</v>
      </c>
    </row>
    <row r="39" spans="2:7" ht="18">
      <c r="B39" s="1">
        <v>2027</v>
      </c>
      <c r="C39" s="9">
        <f t="shared" ref="C39:C41" si="2">10.738*D39-35.277</f>
        <v>158.00700000000001</v>
      </c>
      <c r="D39">
        <v>18</v>
      </c>
      <c r="E39" s="10">
        <f t="shared" si="1"/>
        <v>21359.175600000002</v>
      </c>
      <c r="F39" s="1">
        <f>E39-E38</f>
        <v>115.97040000000197</v>
      </c>
      <c r="G39" s="11">
        <f>G38+F39</f>
        <v>21842.035600000003</v>
      </c>
    </row>
    <row r="40" spans="2:7" ht="18">
      <c r="B40" s="1">
        <v>2028</v>
      </c>
      <c r="C40" s="9">
        <f t="shared" si="2"/>
        <v>168.745</v>
      </c>
      <c r="D40">
        <v>19</v>
      </c>
      <c r="E40" s="10">
        <f t="shared" si="1"/>
        <v>21475.146000000001</v>
      </c>
      <c r="F40" s="1">
        <f>E40-E39</f>
        <v>115.97039999999834</v>
      </c>
      <c r="G40" s="11">
        <f>G39+F40</f>
        <v>21958.006000000001</v>
      </c>
    </row>
    <row r="41" spans="2:7" ht="18">
      <c r="B41" s="1">
        <v>2029</v>
      </c>
      <c r="C41" s="9">
        <f t="shared" si="2"/>
        <v>179.483</v>
      </c>
      <c r="D41">
        <v>20</v>
      </c>
      <c r="E41" s="10">
        <f t="shared" ref="E41" si="3">19652.7+10.8*C41</f>
        <v>21591.116399999999</v>
      </c>
      <c r="F41">
        <f>E41-E40</f>
        <v>115.97039999999834</v>
      </c>
      <c r="G41" s="11">
        <f>G40+F41</f>
        <v>22073.9764</v>
      </c>
    </row>
  </sheetData>
  <sortState xmlns:xlrd2="http://schemas.microsoft.com/office/spreadsheetml/2017/richdata2" ref="A2:F17">
    <sortCondition descending="1" ref="F2:F17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Опис. статистика</vt:lpstr>
      <vt:lpstr>Регрессия скважины</vt:lpstr>
      <vt:lpstr>Корреляция</vt:lpstr>
      <vt:lpstr>Оценка качества модели</vt:lpstr>
      <vt:lpstr>Лист4</vt:lpstr>
      <vt:lpstr>Регрессия Инв и Рф</vt:lpstr>
      <vt:lpstr>Лист2</vt:lpstr>
      <vt:lpstr>Данные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Алина Атавина</dc:creator>
  <cp:lastModifiedBy>Андрей Режепа</cp:lastModifiedBy>
  <dcterms:created xsi:type="dcterms:W3CDTF">2026-05-24T18:48:31Z</dcterms:created>
  <dcterms:modified xsi:type="dcterms:W3CDTF">2026-06-09T15:22:11Z</dcterms:modified>
</cp:coreProperties>
</file>